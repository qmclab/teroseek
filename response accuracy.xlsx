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85482\华为云盘\博士\1-研究\2-TeroSeek\0-main\Supplementary Infromation\"/>
    </mc:Choice>
  </mc:AlternateContent>
  <xr:revisionPtr revIDLastSave="0" documentId="13_ncr:1_{62550DE9-7C59-49A1-BADD-DC3AAAD7F423}" xr6:coauthVersionLast="47" xr6:coauthVersionMax="47" xr10:uidLastSave="{00000000-0000-0000-0000-000000000000}"/>
  <bookViews>
    <workbookView xWindow="-5520" yWindow="-16297" windowWidth="28995" windowHeight="15675" activeTab="3" xr2:uid="{00000000-000D-0000-FFFF-FFFF00000000}"/>
  </bookViews>
  <sheets>
    <sheet name="easy" sheetId="1" r:id="rId1"/>
    <sheet name="middle" sheetId="3" r:id="rId2"/>
    <sheet name="hard" sheetId="4" r:id="rId3"/>
    <sheet name="prompt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C122" i="4" a="1"/>
  <c r="C122" i="4" s="1"/>
  <c r="C123" i="4" s="1"/>
  <c r="D122" i="4" a="1"/>
  <c r="D122" i="4" s="1"/>
  <c r="E122" i="4" a="1"/>
  <c r="E122" i="4" s="1"/>
  <c r="F122" i="4" a="1"/>
  <c r="F122" i="4" s="1"/>
  <c r="G122" i="4" a="1"/>
  <c r="G122" i="4" s="1"/>
  <c r="H122" i="4" a="1"/>
  <c r="H122" i="4" s="1"/>
  <c r="I122" i="4" a="1"/>
  <c r="I122" i="4" s="1"/>
  <c r="J122" i="4" a="1"/>
  <c r="J122" i="4" s="1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C122" i="3" a="1"/>
  <c r="C122" i="3" s="1"/>
  <c r="C123" i="3" s="1"/>
  <c r="D122" i="3" a="1"/>
  <c r="D122" i="3" s="1"/>
  <c r="D123" i="3" s="1"/>
  <c r="E122" i="3" a="1"/>
  <c r="E122" i="3" s="1"/>
  <c r="E123" i="3" s="1"/>
  <c r="F122" i="3" a="1"/>
  <c r="F122" i="3" s="1"/>
  <c r="F123" i="3" s="1"/>
  <c r="G122" i="3" a="1"/>
  <c r="G122" i="3" s="1"/>
  <c r="G123" i="3" s="1"/>
  <c r="H122" i="3" a="1"/>
  <c r="H122" i="3" s="1"/>
  <c r="H123" i="3" s="1"/>
  <c r="I122" i="3" a="1"/>
  <c r="I122" i="3" s="1"/>
  <c r="I123" i="3" s="1"/>
  <c r="J122" i="3" a="1"/>
  <c r="J122" i="3" s="1"/>
  <c r="J123" i="3" s="1"/>
  <c r="K8" i="1"/>
  <c r="K3" i="1"/>
  <c r="K4" i="1"/>
  <c r="K5" i="1"/>
  <c r="K6" i="1"/>
  <c r="K7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2" i="1"/>
  <c r="E122" i="1" a="1"/>
  <c r="E122" i="1" s="1"/>
  <c r="D122" i="1" a="1"/>
  <c r="D122" i="1" s="1"/>
  <c r="C122" i="1" a="1"/>
  <c r="C122" i="1" s="1"/>
  <c r="C123" i="1" s="1"/>
  <c r="F122" i="1" a="1"/>
  <c r="F122" i="1" s="1"/>
  <c r="F123" i="1" s="1"/>
  <c r="G122" i="1" a="1"/>
  <c r="G122" i="1" s="1"/>
  <c r="H122" i="1" a="1"/>
  <c r="H122" i="1" s="1"/>
  <c r="I122" i="1" a="1"/>
  <c r="I122" i="1" s="1"/>
  <c r="J122" i="1" a="1"/>
  <c r="J122" i="1" s="1"/>
  <c r="J123" i="1" l="1"/>
  <c r="I123" i="1"/>
  <c r="I123" i="4"/>
  <c r="H123" i="4"/>
  <c r="E123" i="4"/>
  <c r="D123" i="4"/>
  <c r="J123" i="4"/>
  <c r="G123" i="4"/>
  <c r="F123" i="4"/>
  <c r="H123" i="1"/>
  <c r="G123" i="1"/>
  <c r="D123" i="1"/>
  <c r="E1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<sst xmlns="http://schemas.openxmlformats.org/spreadsheetml/2006/main" count="6175" uniqueCount="398">
  <si>
    <t>mol_name</t>
  </si>
  <si>
    <t>teroseek</t>
  </si>
  <si>
    <t>gpt-5.2</t>
  </si>
  <si>
    <t>gemini-3-pro-preview</t>
  </si>
  <si>
    <t>claude-opus-4-5</t>
  </si>
  <si>
    <t>grok-4</t>
  </si>
  <si>
    <t>qwen3-max</t>
  </si>
  <si>
    <t>Doubao-Seed-1.6</t>
  </si>
  <si>
    <t>DeepSeek-V3.2</t>
  </si>
  <si>
    <t>gpt-5.2_raw</t>
  </si>
  <si>
    <t>gemini-3-pro-preview_raw</t>
  </si>
  <si>
    <t>claude-opus-4-5_raw</t>
  </si>
  <si>
    <t>grok-4_raw</t>
  </si>
  <si>
    <t>qwen3-max_raw</t>
  </si>
  <si>
    <t>Doubao-Seed-1.6_raw</t>
  </si>
  <si>
    <t>DeepSeek-V3.2_raw</t>
  </si>
  <si>
    <t>monoterpenoids</t>
  </si>
  <si>
    <t>thymol</t>
  </si>
  <si>
    <t>carvacrol</t>
  </si>
  <si>
    <t>myrcene</t>
  </si>
  <si>
    <t>camphor</t>
  </si>
  <si>
    <t>camphene</t>
  </si>
  <si>
    <t>sabinene</t>
  </si>
  <si>
    <t>carotenoids</t>
  </si>
  <si>
    <t>tetraterpenoids</t>
  </si>
  <si>
    <t>borneol</t>
  </si>
  <si>
    <t>menthol</t>
  </si>
  <si>
    <t>terpinolene</t>
  </si>
  <si>
    <t>citral</t>
  </si>
  <si>
    <t>caryophyllene</t>
  </si>
  <si>
    <t>sesquiterpenoids</t>
  </si>
  <si>
    <t>lutein</t>
  </si>
  <si>
    <t>lycopene</t>
  </si>
  <si>
    <t>eucalyptol</t>
  </si>
  <si>
    <t>citronellol</t>
  </si>
  <si>
    <t>carvone</t>
  </si>
  <si>
    <t>squalene</t>
  </si>
  <si>
    <t>triterpenoids</t>
  </si>
  <si>
    <t>lupeol</t>
  </si>
  <si>
    <t>spathulenol</t>
  </si>
  <si>
    <t>artemisinin</t>
  </si>
  <si>
    <t>zeaxanthin</t>
  </si>
  <si>
    <t>nerolidol</t>
  </si>
  <si>
    <t>phytol</t>
  </si>
  <si>
    <t>diterpenoids</t>
  </si>
  <si>
    <t>paclitaxel</t>
  </si>
  <si>
    <t>geranial</t>
  </si>
  <si>
    <t>astaxanthin</t>
  </si>
  <si>
    <t>citronellal</t>
  </si>
  <si>
    <t>bicyclogermacrene</t>
  </si>
  <si>
    <t>farnesol</t>
  </si>
  <si>
    <t>menthone</t>
  </si>
  <si>
    <t>pulegone</t>
  </si>
  <si>
    <t>betulin</t>
  </si>
  <si>
    <t>carotenoid</t>
  </si>
  <si>
    <t>others</t>
  </si>
  <si>
    <t>meroterpenoids</t>
  </si>
  <si>
    <t>andrographolide</t>
  </si>
  <si>
    <t>verbenone</t>
  </si>
  <si>
    <t>pinene</t>
  </si>
  <si>
    <t>violaxanthin</t>
  </si>
  <si>
    <t>ocimene</t>
  </si>
  <si>
    <t>valencene</t>
  </si>
  <si>
    <t>viridiflorol</t>
  </si>
  <si>
    <t>aromadendrene</t>
  </si>
  <si>
    <t>humulene</t>
  </si>
  <si>
    <t>ginsenosides</t>
  </si>
  <si>
    <t>fenchone</t>
  </si>
  <si>
    <t>terpineol</t>
  </si>
  <si>
    <t>triptolide</t>
  </si>
  <si>
    <t>farnesene</t>
  </si>
  <si>
    <t>cineole</t>
  </si>
  <si>
    <t>phytoene</t>
  </si>
  <si>
    <t>carnosol</t>
  </si>
  <si>
    <t>piperitone</t>
  </si>
  <si>
    <t>celastrol</t>
  </si>
  <si>
    <t>longifolene</t>
  </si>
  <si>
    <t>artesunate</t>
  </si>
  <si>
    <t>dihydroartemisinin</t>
  </si>
  <si>
    <t>globulol</t>
  </si>
  <si>
    <t>gibberellins</t>
  </si>
  <si>
    <t>myrtenol</t>
  </si>
  <si>
    <t>docetaxel</t>
  </si>
  <si>
    <t>elemol</t>
  </si>
  <si>
    <t>neoxanthin</t>
  </si>
  <si>
    <t>friedelin</t>
  </si>
  <si>
    <t>fucoxanthin</t>
  </si>
  <si>
    <t>glycyrrhizin</t>
  </si>
  <si>
    <t>ferruginol</t>
  </si>
  <si>
    <t>artemether</t>
  </si>
  <si>
    <t>isomenthone</t>
  </si>
  <si>
    <t>parthenolide</t>
  </si>
  <si>
    <t>canthaxanthin</t>
  </si>
  <si>
    <t>gibberellin</t>
  </si>
  <si>
    <t>thujone</t>
  </si>
  <si>
    <t>costunolide</t>
  </si>
  <si>
    <t>copaene</t>
  </si>
  <si>
    <t>nootkatone</t>
  </si>
  <si>
    <t>sclareol</t>
  </si>
  <si>
    <t>safranal</t>
  </si>
  <si>
    <t>geosmin</t>
  </si>
  <si>
    <t>zingiberene</t>
  </si>
  <si>
    <t>cedrol</t>
  </si>
  <si>
    <t>carveol</t>
  </si>
  <si>
    <t>oridonin</t>
  </si>
  <si>
    <t>guaiol</t>
  </si>
  <si>
    <t>myrtenal</t>
  </si>
  <si>
    <t>isopulegol</t>
  </si>
  <si>
    <t>tanshinones</t>
  </si>
  <si>
    <t>antheraxanthin</t>
  </si>
  <si>
    <t>tricyclene</t>
  </si>
  <si>
    <t>menthofuran</t>
  </si>
  <si>
    <t>terpinene</t>
  </si>
  <si>
    <t>stevioside</t>
  </si>
  <si>
    <t>paeoniflorin</t>
  </si>
  <si>
    <t>iridoids</t>
  </si>
  <si>
    <t>bisabolene</t>
  </si>
  <si>
    <t>germacrone</t>
  </si>
  <si>
    <t>isoborneol</t>
  </si>
  <si>
    <t>neophytadiene</t>
  </si>
  <si>
    <t>erythrodiol</t>
  </si>
  <si>
    <t>taxadiene</t>
  </si>
  <si>
    <t>cymene</t>
  </si>
  <si>
    <t>pinocarvone</t>
  </si>
  <si>
    <t>saponins</t>
  </si>
  <si>
    <t>azadirachtin</t>
  </si>
  <si>
    <t>geranylgeraniol</t>
  </si>
  <si>
    <t>chamazulene</t>
  </si>
  <si>
    <t>zerumbone</t>
  </si>
  <si>
    <t>cryptotanshinone</t>
  </si>
  <si>
    <t>alloaromadendrene</t>
  </si>
  <si>
    <t>taraxerol</t>
  </si>
  <si>
    <t>steroids</t>
  </si>
  <si>
    <t>forskolin</t>
  </si>
  <si>
    <t>secologanin</t>
  </si>
  <si>
    <t>germacrene</t>
  </si>
  <si>
    <t>all_right</t>
    <phoneticPr fontId="2" type="noConversion"/>
  </si>
  <si>
    <t>"""
Classify the compound "{}" into the most appropriate category from the following list:
["Hemiterpenoids", "Monoterpenoids", "Sesquiterpenoids", "Diterpenoids", "Sesterterpenoids", "Triterpenoids", "Tetraterpenoids", "Steroids", "Meroterpenoids", "Others"]
Output ONLY the category name. 
Do not include any explanation or additional text !!!!!!!!!!!
"""</t>
    <phoneticPr fontId="2" type="noConversion"/>
  </si>
  <si>
    <t>limonene</t>
    <phoneticPr fontId="2" type="noConversion"/>
  </si>
  <si>
    <t>gpt-5.2</t>
    <phoneticPr fontId="2" type="noConversion"/>
  </si>
  <si>
    <t>monoterpenoids</t>
    <phoneticPr fontId="2" type="noConversion"/>
  </si>
  <si>
    <t>linalool</t>
    <phoneticPr fontId="2" type="noConversion"/>
  </si>
  <si>
    <t>geraniol</t>
    <phoneticPr fontId="2" type="noConversion"/>
  </si>
  <si>
    <t>eugenol</t>
    <phoneticPr fontId="2" type="noConversion"/>
  </si>
  <si>
    <t>teroseek</t>
    <phoneticPr fontId="2" type="noConversion"/>
  </si>
  <si>
    <t>mol_type</t>
    <phoneticPr fontId="2" type="noConversion"/>
  </si>
  <si>
    <t>vetiverol</t>
  </si>
  <si>
    <t>germacron</t>
  </si>
  <si>
    <t>carvomenthide</t>
  </si>
  <si>
    <t>eudesmanediol</t>
  </si>
  <si>
    <t>isothujol</t>
  </si>
  <si>
    <t>pimaradienes</t>
  </si>
  <si>
    <t>panaxatriol</t>
  </si>
  <si>
    <t>ganodermanotriol</t>
  </si>
  <si>
    <t>preisocalamendiol</t>
  </si>
  <si>
    <t>artabsin</t>
  </si>
  <si>
    <t>lanostanoids</t>
  </si>
  <si>
    <t>selinane</t>
  </si>
  <si>
    <t>isosativene</t>
  </si>
  <si>
    <t>neoclovene</t>
  </si>
  <si>
    <t>litseagermacrane</t>
  </si>
  <si>
    <t>sesquiterpenols</t>
  </si>
  <si>
    <t>cladantholide</t>
  </si>
  <si>
    <t>zedoarofuran</t>
  </si>
  <si>
    <t>β‐myrcene</t>
  </si>
  <si>
    <t>daucanes</t>
  </si>
  <si>
    <t>cycloisosativene</t>
  </si>
  <si>
    <t>alloaromandrene</t>
  </si>
  <si>
    <t>cariofileno</t>
  </si>
  <si>
    <t>triterpens</t>
  </si>
  <si>
    <t>triquinanes</t>
  </si>
  <si>
    <t>sapotexanthin</t>
  </si>
  <si>
    <t>prasinoxanthin</t>
  </si>
  <si>
    <t>vetiselinenol</t>
  </si>
  <si>
    <t>serrulatane</t>
  </si>
  <si>
    <t>cupalaurenol</t>
  </si>
  <si>
    <t>soyasapogenols</t>
  </si>
  <si>
    <t>cyperenol</t>
  </si>
  <si>
    <t>verbanone</t>
  </si>
  <si>
    <t>sesterterpenoids</t>
  </si>
  <si>
    <t>sesterterpene</t>
  </si>
  <si>
    <t>alloalantolactone</t>
  </si>
  <si>
    <t>furanolabdanoids</t>
  </si>
  <si>
    <t>kauniolide</t>
  </si>
  <si>
    <t>bergamol</t>
  </si>
  <si>
    <t>partheniol</t>
  </si>
  <si>
    <t>hydroxyvernolide</t>
  </si>
  <si>
    <t>curcumolide</t>
  </si>
  <si>
    <t>intermediol</t>
  </si>
  <si>
    <t>neoambrosin</t>
  </si>
  <si>
    <t>botryane</t>
  </si>
  <si>
    <t>melampolide</t>
  </si>
  <si>
    <t>acorone</t>
  </si>
  <si>
    <t>tirucallane</t>
  </si>
  <si>
    <t>hydroxyisogermafurenolide</t>
  </si>
  <si>
    <t>pristimerine</t>
  </si>
  <si>
    <t>clovane</t>
  </si>
  <si>
    <t>isocadalene</t>
  </si>
  <si>
    <t>muurolane</t>
  </si>
  <si>
    <t>fenchane</t>
  </si>
  <si>
    <t>longipinane</t>
  </si>
  <si>
    <t>mesozeaxanthin</t>
  </si>
  <si>
    <t>barbatene</t>
  </si>
  <si>
    <t>sesquiterpenoids</t>
    <phoneticPr fontId="2" type="noConversion"/>
  </si>
  <si>
    <t>calamanene</t>
    <phoneticPr fontId="2" type="noConversion"/>
  </si>
  <si>
    <t>neroloxide</t>
    <phoneticPr fontId="2" type="noConversion"/>
  </si>
  <si>
    <t>diterpenoids</t>
    <phoneticPr fontId="2" type="noConversion"/>
  </si>
  <si>
    <t>dehydroferruginol</t>
    <phoneticPr fontId="2" type="noConversion"/>
  </si>
  <si>
    <t>yuanhuafine</t>
  </si>
  <si>
    <t>enhydrofolin</t>
  </si>
  <si>
    <t>isomalabaricane</t>
  </si>
  <si>
    <t>ic9564</t>
  </si>
  <si>
    <t>disesquiterpenoids</t>
  </si>
  <si>
    <t>c15alkopp</t>
  </si>
  <si>
    <t>oryzalactone</t>
  </si>
  <si>
    <t>dihydrokaranone</t>
  </si>
  <si>
    <t>aplyviolene</t>
  </si>
  <si>
    <t>alotaketals</t>
  </si>
  <si>
    <t>plagiodial</t>
  </si>
  <si>
    <t>cichoralexin</t>
  </si>
  <si>
    <t>tourneforin</t>
  </si>
  <si>
    <t>paeonilide</t>
  </si>
  <si>
    <t>oppositane</t>
  </si>
  <si>
    <t>scandoside</t>
  </si>
  <si>
    <t>trachinodiol</t>
  </si>
  <si>
    <t>demethylzeylasterone</t>
  </si>
  <si>
    <t>galeopsin</t>
  </si>
  <si>
    <t>lipiferolide</t>
  </si>
  <si>
    <t>ludartin</t>
  </si>
  <si>
    <t>horiolide</t>
  </si>
  <si>
    <t>prespatane</t>
  </si>
  <si>
    <t>sambucinol</t>
  </si>
  <si>
    <t>havellockate</t>
  </si>
  <si>
    <t>oplopane</t>
  </si>
  <si>
    <t>sahandone</t>
  </si>
  <si>
    <t>denudatine</t>
  </si>
  <si>
    <t>hydropyrene</t>
  </si>
  <si>
    <t>isoagatholactone</t>
  </si>
  <si>
    <t>pyronenes</t>
  </si>
  <si>
    <t>odonicin</t>
  </si>
  <si>
    <t>rg3(s)</t>
  </si>
  <si>
    <t>deodarone</t>
  </si>
  <si>
    <t>safficinolide</t>
  </si>
  <si>
    <t>agatholal</t>
  </si>
  <si>
    <t>sabinane</t>
  </si>
  <si>
    <t>aplysulphurin</t>
  </si>
  <si>
    <t>britannin</t>
  </si>
  <si>
    <t>antcins</t>
  </si>
  <si>
    <t>candidissiol</t>
  </si>
  <si>
    <t>blinin</t>
  </si>
  <si>
    <t>britannilactone</t>
  </si>
  <si>
    <t>trichothecenes</t>
  </si>
  <si>
    <t>diacetoxyscirpenol</t>
    <phoneticPr fontId="2" type="noConversion"/>
  </si>
  <si>
    <t>longispinogenin</t>
  </si>
  <si>
    <t>debromolaurinterol</t>
  </si>
  <si>
    <t>artemiseole</t>
  </si>
  <si>
    <t>darwinolide</t>
  </si>
  <si>
    <t>isopimaradienal</t>
  </si>
  <si>
    <t>gazaniolide</t>
  </si>
  <si>
    <t>tanshinoneiia</t>
  </si>
  <si>
    <t>dihydrofrullanolide</t>
  </si>
  <si>
    <t>isoalloalantolactone</t>
  </si>
  <si>
    <t>lactarazulene</t>
  </si>
  <si>
    <t>isolaurene</t>
  </si>
  <si>
    <t>eremofrullanolide</t>
  </si>
  <si>
    <t>epoxygeraniol</t>
  </si>
  <si>
    <t>neoisolongifolene</t>
  </si>
  <si>
    <t>pinocampheol</t>
  </si>
  <si>
    <t>arturmerone</t>
  </si>
  <si>
    <t>ursolate</t>
  </si>
  <si>
    <t>desfuranoazadiradione</t>
  </si>
  <si>
    <t>isobornanethiol</t>
  </si>
  <si>
    <t>aromadendrenes</t>
  </si>
  <si>
    <t>norabietatrienes</t>
  </si>
  <si>
    <t>aphidicolene</t>
  </si>
  <si>
    <t>helminthogermacrene</t>
  </si>
  <si>
    <t>conyzasaponins</t>
  </si>
  <si>
    <t>asteriscunolides</t>
  </si>
  <si>
    <t>triciclene</t>
  </si>
  <si>
    <t>dehydroabietanes</t>
  </si>
  <si>
    <t>camphenes</t>
  </si>
  <si>
    <t>linalyl</t>
  </si>
  <si>
    <t>eremophilenolide</t>
  </si>
  <si>
    <t>chamigrenol</t>
  </si>
  <si>
    <t>dehydrocostus</t>
  </si>
  <si>
    <t>heliangolide</t>
  </si>
  <si>
    <t>mirtenal</t>
  </si>
  <si>
    <t>dihydroeudesmol</t>
  </si>
  <si>
    <t>terpinoline</t>
  </si>
  <si>
    <t>tirucalladienol</t>
  </si>
  <si>
    <t>farnesan</t>
  </si>
  <si>
    <t>bisnorlabdane</t>
  </si>
  <si>
    <t>verbenole</t>
  </si>
  <si>
    <t>isopimarinal</t>
  </si>
  <si>
    <t>hinesene</t>
  </si>
  <si>
    <t>curcumerone</t>
  </si>
  <si>
    <t>pimarinol</t>
  </si>
  <si>
    <t>dihydrolimonene</t>
  </si>
  <si>
    <t>desacetylnimbin</t>
  </si>
  <si>
    <t>ursenone</t>
  </si>
  <si>
    <t>triterpenoids</t>
    <phoneticPr fontId="2" type="noConversion"/>
  </si>
  <si>
    <t>neolupenol</t>
  </si>
  <si>
    <t>bisacurol</t>
  </si>
  <si>
    <t>violacene</t>
  </si>
  <si>
    <t>isolipidiol</t>
  </si>
  <si>
    <t>dihydrosinuflexolide</t>
  </si>
  <si>
    <t>iridoid monoterpenoids
(note: since the specific sub-category "iridoid monoterpenoids" is not in your list, but it falls under the broader class of monoterpenoids, the correct selection from your list is below.)
monoterpenoids</t>
  </si>
  <si>
    <t>hemiterpenoids</t>
  </si>
  <si>
    <t>steroids</t>
    <phoneticPr fontId="2" type="noConversion"/>
  </si>
  <si>
    <t>cyclosiversigenin</t>
    <phoneticPr fontId="2" type="noConversion"/>
  </si>
  <si>
    <t>thymoquinone</t>
    <phoneticPr fontId="2" type="noConversion"/>
  </si>
  <si>
    <t>bilobalide</t>
    <phoneticPr fontId="2" type="noConversion"/>
  </si>
  <si>
    <t>furandiol</t>
    <phoneticPr fontId="2" type="noConversion"/>
  </si>
  <si>
    <t>hiiranterpenone</t>
    <phoneticPr fontId="2" type="noConversion"/>
  </si>
  <si>
    <t>fuscosides</t>
    <phoneticPr fontId="2" type="noConversion"/>
  </si>
  <si>
    <t>komarovispirone</t>
    <phoneticPr fontId="2" type="noConversion"/>
  </si>
  <si>
    <t>azadironol</t>
    <phoneticPr fontId="2" type="noConversion"/>
  </si>
  <si>
    <t>igernellin</t>
    <phoneticPr fontId="2" type="noConversion"/>
  </si>
  <si>
    <t>microphyllandiolide</t>
    <phoneticPr fontId="2" type="noConversion"/>
  </si>
  <si>
    <t>zoapatanol</t>
    <phoneticPr fontId="2" type="noConversion"/>
  </si>
  <si>
    <t>dinorspongiapyridine</t>
    <phoneticPr fontId="2" type="noConversion"/>
  </si>
  <si>
    <t>lilial</t>
    <phoneticPr fontId="2" type="noConversion"/>
  </si>
  <si>
    <t>aplysulfurin</t>
    <phoneticPr fontId="2" type="noConversion"/>
  </si>
  <si>
    <t>rhombitriol</t>
    <phoneticPr fontId="2" type="noConversion"/>
  </si>
  <si>
    <t>tinophylloloside</t>
    <phoneticPr fontId="2" type="noConversion"/>
  </si>
  <si>
    <t>curcumanggoside</t>
    <phoneticPr fontId="2" type="noConversion"/>
  </si>
  <si>
    <t>parvifoline</t>
    <phoneticPr fontId="2" type="noConversion"/>
  </si>
  <si>
    <t>lippifolienone</t>
    <phoneticPr fontId="2" type="noConversion"/>
  </si>
  <si>
    <t>hirsutine</t>
    <phoneticPr fontId="2" type="noConversion"/>
  </si>
  <si>
    <t>stizolin</t>
    <phoneticPr fontId="2" type="noConversion"/>
  </si>
  <si>
    <t>kongol</t>
    <phoneticPr fontId="2" type="noConversion"/>
  </si>
  <si>
    <t>lappalone</t>
    <phoneticPr fontId="2" type="noConversion"/>
  </si>
  <si>
    <t>junionone</t>
    <phoneticPr fontId="2" type="noConversion"/>
  </si>
  <si>
    <t>parnapimarol</t>
    <phoneticPr fontId="2" type="noConversion"/>
  </si>
  <si>
    <t>nopadiene</t>
    <phoneticPr fontId="2" type="noConversion"/>
  </si>
  <si>
    <t>capillolide</t>
    <phoneticPr fontId="2" type="noConversion"/>
  </si>
  <si>
    <t>oleodaphnal</t>
    <phoneticPr fontId="2" type="noConversion"/>
  </si>
  <si>
    <t>eudoraenol</t>
    <phoneticPr fontId="2" type="noConversion"/>
  </si>
  <si>
    <t>singardin</t>
    <phoneticPr fontId="2" type="noConversion"/>
  </si>
  <si>
    <t>coleol</t>
    <phoneticPr fontId="2" type="noConversion"/>
  </si>
  <si>
    <t>pupukeananes</t>
    <phoneticPr fontId="2" type="noConversion"/>
  </si>
  <si>
    <t>desacetylsalannin</t>
    <phoneticPr fontId="2" type="noConversion"/>
  </si>
  <si>
    <t>pancherione</t>
    <phoneticPr fontId="2" type="noConversion"/>
  </si>
  <si>
    <t>capsicodendrin</t>
    <phoneticPr fontId="2" type="noConversion"/>
  </si>
  <si>
    <t>caminatal</t>
    <phoneticPr fontId="2" type="noConversion"/>
  </si>
  <si>
    <t>sarsolenone</t>
    <phoneticPr fontId="2" type="noConversion"/>
  </si>
  <si>
    <t>kavaranolide</t>
    <phoneticPr fontId="2" type="noConversion"/>
  </si>
  <si>
    <t>riolozatrione</t>
    <phoneticPr fontId="2" type="noConversion"/>
  </si>
  <si>
    <t>phomanolide</t>
    <phoneticPr fontId="2" type="noConversion"/>
  </si>
  <si>
    <t>miscandenin</t>
    <phoneticPr fontId="2" type="noConversion"/>
  </si>
  <si>
    <t>intricatetraol</t>
    <phoneticPr fontId="2" type="noConversion"/>
  </si>
  <si>
    <t>tuberiferin</t>
    <phoneticPr fontId="2" type="noConversion"/>
  </si>
  <si>
    <t>allocymene</t>
    <phoneticPr fontId="2" type="noConversion"/>
  </si>
  <si>
    <t>integrifolin</t>
    <phoneticPr fontId="2" type="noConversion"/>
  </si>
  <si>
    <t>mansonones</t>
    <phoneticPr fontId="2" type="noConversion"/>
  </si>
  <si>
    <t>methylcarvacrol</t>
    <phoneticPr fontId="2" type="noConversion"/>
  </si>
  <si>
    <t>neodolabellane</t>
    <phoneticPr fontId="2" type="noConversion"/>
  </si>
  <si>
    <t>eustomoside</t>
    <phoneticPr fontId="2" type="noConversion"/>
  </si>
  <si>
    <t>majoroside</t>
    <phoneticPr fontId="2" type="noConversion"/>
  </si>
  <si>
    <t>tanshinaldehyde</t>
    <phoneticPr fontId="2" type="noConversion"/>
  </si>
  <si>
    <t>platycodon</t>
    <phoneticPr fontId="2" type="noConversion"/>
  </si>
  <si>
    <t>granilin</t>
    <phoneticPr fontId="2" type="noConversion"/>
  </si>
  <si>
    <t>alcyonin</t>
    <phoneticPr fontId="2" type="noConversion"/>
  </si>
  <si>
    <t>armefolin</t>
    <phoneticPr fontId="2" type="noConversion"/>
  </si>
  <si>
    <t>incarvilline</t>
    <phoneticPr fontId="2" type="noConversion"/>
  </si>
  <si>
    <t>canfeno</t>
    <phoneticPr fontId="2" type="noConversion"/>
  </si>
  <si>
    <t>rabdolasional</t>
    <phoneticPr fontId="2" type="noConversion"/>
  </si>
  <si>
    <t>isoobtusol</t>
    <phoneticPr fontId="2" type="noConversion"/>
  </si>
  <si>
    <t>oxylitophynol</t>
    <phoneticPr fontId="2" type="noConversion"/>
  </si>
  <si>
    <t>heliannane</t>
    <phoneticPr fontId="2" type="noConversion"/>
  </si>
  <si>
    <t>secaubryenol</t>
    <phoneticPr fontId="2" type="noConversion"/>
  </si>
  <si>
    <t>lyratal</t>
    <phoneticPr fontId="2" type="noConversion"/>
  </si>
  <si>
    <t>isojatrogrossidion</t>
    <phoneticPr fontId="2" type="noConversion"/>
  </si>
  <si>
    <t>stachene</t>
    <phoneticPr fontId="2" type="noConversion"/>
  </si>
  <si>
    <t>acetoxyhuratoxin</t>
    <phoneticPr fontId="2" type="noConversion"/>
  </si>
  <si>
    <t>gymnomitrane</t>
    <phoneticPr fontId="2" type="noConversion"/>
  </si>
  <si>
    <t>lippifoliane</t>
    <phoneticPr fontId="2" type="noConversion"/>
  </si>
  <si>
    <t>lauroxepine</t>
    <phoneticPr fontId="2" type="noConversion"/>
  </si>
  <si>
    <t>blepharotriol</t>
    <phoneticPr fontId="2" type="noConversion"/>
  </si>
  <si>
    <t>bromolaurenisol</t>
    <phoneticPr fontId="2" type="noConversion"/>
  </si>
  <si>
    <t>cadlinaldehyde</t>
    <phoneticPr fontId="2" type="noConversion"/>
  </si>
  <si>
    <t>abrusosides</t>
    <phoneticPr fontId="2" type="noConversion"/>
  </si>
  <si>
    <t>kokoonol</t>
    <phoneticPr fontId="2" type="noConversion"/>
  </si>
  <si>
    <t>estragole</t>
    <phoneticPr fontId="2" type="noConversion"/>
  </si>
  <si>
    <t>cycloartenol</t>
    <phoneticPr fontId="2" type="noConversion"/>
  </si>
  <si>
    <t>salvicanol</t>
    <phoneticPr fontId="2" type="noConversion"/>
  </si>
  <si>
    <t>arborescin</t>
    <phoneticPr fontId="2" type="noConversion"/>
  </si>
  <si>
    <t>chasmanine</t>
    <phoneticPr fontId="2" type="noConversion"/>
  </si>
  <si>
    <t>jiadifenin</t>
    <phoneticPr fontId="2" type="noConversion"/>
  </si>
  <si>
    <t>eubotriol</t>
    <phoneticPr fontId="2" type="noConversion"/>
  </si>
  <si>
    <t>mandapamate</t>
    <phoneticPr fontId="2" type="noConversion"/>
  </si>
  <si>
    <t>kunzeaol</t>
    <phoneticPr fontId="2" type="noConversion"/>
  </si>
  <si>
    <t>cartilagineol</t>
    <phoneticPr fontId="2" type="noConversion"/>
  </si>
  <si>
    <t>nectriapyrone</t>
    <phoneticPr fontId="2" type="noConversion"/>
  </si>
  <si>
    <t>carquejol</t>
    <phoneticPr fontId="2" type="noConversion"/>
  </si>
  <si>
    <t>hispidone</t>
    <phoneticPr fontId="2" type="noConversion"/>
  </si>
  <si>
    <t>fusicoauritone</t>
    <phoneticPr fontId="2" type="noConversion"/>
  </si>
  <si>
    <t>cinnzeylanine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</si>
</sst>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top"/>
    </xf>
    <xf numFmtId="176" fontId="0" fillId="0" borderId="0" xfId="0" applyNumberFormat="1"/>
    <xf numFmtId="0" fontId="4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3"/>
  <sheetViews>
    <sheetView zoomScaleNormal="100" workbookViewId="0">
      <selection activeCell="C9" sqref="C9"/>
    </sheetView>
  </sheetViews>
  <sheetFormatPr defaultColWidth="20.765625" defaultRowHeight="14.15" x14ac:dyDescent="0.3"/>
  <cols>
    <col min="11" max="11" width="20.765625" style="2"/>
  </cols>
  <sheetData>
    <row r="1" spans="1:18" x14ac:dyDescent="0.3">
      <c r="A1" s="1" t="s">
        <v>0</v>
      </c>
      <c r="B1" s="3" t="s">
        <v>145</v>
      </c>
      <c r="C1" s="3" t="s">
        <v>144</v>
      </c>
      <c r="D1" s="3" t="s">
        <v>139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136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s="5" customFormat="1" x14ac:dyDescent="0.3">
      <c r="A2" s="11" t="s">
        <v>143</v>
      </c>
      <c r="B2" s="5" t="s">
        <v>140</v>
      </c>
      <c r="C2" s="5" t="s">
        <v>16</v>
      </c>
      <c r="D2" s="5" t="s">
        <v>55</v>
      </c>
      <c r="E2" s="5" t="s">
        <v>55</v>
      </c>
      <c r="F2" s="5" t="s">
        <v>55</v>
      </c>
      <c r="G2" s="5" t="s">
        <v>55</v>
      </c>
      <c r="H2" s="5" t="s">
        <v>56</v>
      </c>
      <c r="I2" s="5" t="s">
        <v>56</v>
      </c>
      <c r="J2" s="5" t="s">
        <v>16</v>
      </c>
      <c r="K2" s="6">
        <f>IF(AND(B2=C2,C2=D2,D2=E2,E2=F2,F2=G2,G2=H2,H2=I2,I2=J2), 1, 0)</f>
        <v>0</v>
      </c>
      <c r="L2" s="5" t="s">
        <v>55</v>
      </c>
      <c r="M2" s="5" t="s">
        <v>55</v>
      </c>
      <c r="N2" s="5" t="s">
        <v>55</v>
      </c>
      <c r="O2" s="5" t="s">
        <v>55</v>
      </c>
      <c r="P2" s="5" t="s">
        <v>56</v>
      </c>
      <c r="Q2" s="5" t="s">
        <v>56</v>
      </c>
      <c r="R2" s="5" t="s">
        <v>16</v>
      </c>
    </row>
    <row r="3" spans="1:18" s="5" customFormat="1" x14ac:dyDescent="0.3">
      <c r="A3" s="5" t="s">
        <v>310</v>
      </c>
      <c r="B3" s="5" t="s">
        <v>140</v>
      </c>
      <c r="C3" s="5" t="s">
        <v>16</v>
      </c>
      <c r="D3" s="5" t="s">
        <v>55</v>
      </c>
      <c r="E3" s="5" t="s">
        <v>16</v>
      </c>
      <c r="F3" s="5" t="s">
        <v>16</v>
      </c>
      <c r="G3" s="5" t="s">
        <v>16</v>
      </c>
      <c r="H3" s="5" t="s">
        <v>56</v>
      </c>
      <c r="I3" s="5" t="s">
        <v>56</v>
      </c>
      <c r="J3" s="5" t="s">
        <v>16</v>
      </c>
      <c r="K3" s="6">
        <f>IF(AND(B3=C3,C3=D3,D3=E3,E3=F3,F3=G3,G3=H3,H3=I3,I3=J3), 1, 0)</f>
        <v>0</v>
      </c>
      <c r="L3" s="5" t="s">
        <v>55</v>
      </c>
      <c r="M3" s="5" t="s">
        <v>16</v>
      </c>
      <c r="N3" s="5" t="s">
        <v>16</v>
      </c>
      <c r="O3" s="5" t="s">
        <v>16</v>
      </c>
      <c r="P3" s="5" t="s">
        <v>56</v>
      </c>
      <c r="Q3" s="5" t="s">
        <v>56</v>
      </c>
      <c r="R3" s="5" t="s">
        <v>16</v>
      </c>
    </row>
    <row r="4" spans="1:18" s="5" customFormat="1" x14ac:dyDescent="0.3">
      <c r="A4" s="5" t="s">
        <v>311</v>
      </c>
      <c r="B4" s="5" t="s">
        <v>203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56</v>
      </c>
      <c r="K4" s="6">
        <f t="shared" ref="K4:K66" si="0">IF(AND(B4=C4,C4=D4,D4=E4,E4=F4,F4=G4,G4=H4,H4=I4,I4=J4), 1, 0)</f>
        <v>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56</v>
      </c>
    </row>
    <row r="5" spans="1:18" s="5" customFormat="1" x14ac:dyDescent="0.3">
      <c r="A5" s="5" t="s">
        <v>383</v>
      </c>
      <c r="B5" s="5" t="s">
        <v>16</v>
      </c>
      <c r="C5" s="5" t="s">
        <v>16</v>
      </c>
      <c r="D5" s="5" t="s">
        <v>55</v>
      </c>
      <c r="E5" s="5" t="s">
        <v>16</v>
      </c>
      <c r="F5" s="5" t="s">
        <v>55</v>
      </c>
      <c r="G5" s="5" t="s">
        <v>55</v>
      </c>
      <c r="H5" s="5" t="s">
        <v>16</v>
      </c>
      <c r="I5" s="5" t="s">
        <v>16</v>
      </c>
      <c r="J5" s="5" t="s">
        <v>16</v>
      </c>
      <c r="K5" s="6">
        <f t="shared" si="0"/>
        <v>0</v>
      </c>
      <c r="L5" s="5" t="s">
        <v>55</v>
      </c>
      <c r="M5" s="5" t="s">
        <v>16</v>
      </c>
      <c r="N5" s="5" t="s">
        <v>55</v>
      </c>
      <c r="O5" s="5" t="s">
        <v>55</v>
      </c>
      <c r="P5" s="5" t="s">
        <v>16</v>
      </c>
      <c r="Q5" s="5" t="s">
        <v>16</v>
      </c>
      <c r="R5" s="5" t="s">
        <v>16</v>
      </c>
    </row>
    <row r="6" spans="1:18" s="5" customFormat="1" x14ac:dyDescent="0.3">
      <c r="A6" s="5" t="s">
        <v>384</v>
      </c>
      <c r="B6" s="5" t="s">
        <v>37</v>
      </c>
      <c r="C6" s="5" t="s">
        <v>37</v>
      </c>
      <c r="D6" s="5" t="s">
        <v>37</v>
      </c>
      <c r="E6" s="5" t="s">
        <v>37</v>
      </c>
      <c r="F6" s="5" t="s">
        <v>37</v>
      </c>
      <c r="G6" s="5" t="s">
        <v>132</v>
      </c>
      <c r="H6" s="5" t="s">
        <v>37</v>
      </c>
      <c r="I6" s="5" t="s">
        <v>37</v>
      </c>
      <c r="J6" s="5" t="s">
        <v>37</v>
      </c>
      <c r="K6" s="6">
        <f t="shared" si="0"/>
        <v>0</v>
      </c>
      <c r="L6" s="5" t="s">
        <v>37</v>
      </c>
      <c r="M6" s="5" t="s">
        <v>37</v>
      </c>
      <c r="N6" s="5" t="s">
        <v>37</v>
      </c>
      <c r="O6" s="5" t="s">
        <v>132</v>
      </c>
      <c r="P6" s="5" t="s">
        <v>37</v>
      </c>
      <c r="Q6" s="5" t="s">
        <v>37</v>
      </c>
      <c r="R6" s="5" t="s">
        <v>37</v>
      </c>
    </row>
    <row r="7" spans="1:18" x14ac:dyDescent="0.3">
      <c r="A7" t="s">
        <v>138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s="7">
        <f t="shared" si="0"/>
        <v>1</v>
      </c>
      <c r="L7" t="s">
        <v>140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</row>
    <row r="8" spans="1:18" x14ac:dyDescent="0.3">
      <c r="A8" t="s">
        <v>141</v>
      </c>
      <c r="B8" t="s">
        <v>16</v>
      </c>
      <c r="C8" t="s">
        <v>16</v>
      </c>
      <c r="D8" t="s">
        <v>140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s="7">
        <f>IF(AND(B8=C8,C8=D8,D8=E8,E8=F8,F8=G8,G8=H8,H8=I8,I8=J8), 1, 0)</f>
        <v>1</v>
      </c>
      <c r="L8" t="s">
        <v>140</v>
      </c>
      <c r="M8" t="s">
        <v>16</v>
      </c>
      <c r="N8" t="s">
        <v>16</v>
      </c>
      <c r="O8" t="s">
        <v>16</v>
      </c>
      <c r="P8" t="s">
        <v>16</v>
      </c>
      <c r="Q8" t="s">
        <v>16</v>
      </c>
      <c r="R8" t="s">
        <v>16</v>
      </c>
    </row>
    <row r="9" spans="1:18" x14ac:dyDescent="0.3">
      <c r="A9" t="s">
        <v>142</v>
      </c>
      <c r="B9" t="s">
        <v>16</v>
      </c>
      <c r="C9" t="s">
        <v>16</v>
      </c>
      <c r="D9" t="s">
        <v>140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s="7">
        <f t="shared" si="0"/>
        <v>1</v>
      </c>
      <c r="L9" t="s">
        <v>140</v>
      </c>
      <c r="M9" t="s">
        <v>16</v>
      </c>
      <c r="N9" t="s">
        <v>16</v>
      </c>
      <c r="O9" t="s">
        <v>16</v>
      </c>
      <c r="P9" t="s">
        <v>16</v>
      </c>
      <c r="Q9" t="s">
        <v>16</v>
      </c>
      <c r="R9" t="s">
        <v>16</v>
      </c>
    </row>
    <row r="10" spans="1:18" x14ac:dyDescent="0.3">
      <c r="A10" t="s">
        <v>17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s="7">
        <f t="shared" si="0"/>
        <v>1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</row>
    <row r="11" spans="1:18" x14ac:dyDescent="0.3">
      <c r="A11" t="s">
        <v>18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s="7">
        <f t="shared" si="0"/>
        <v>1</v>
      </c>
      <c r="L11" t="s">
        <v>16</v>
      </c>
      <c r="M11" t="s">
        <v>16</v>
      </c>
      <c r="N11" t="s">
        <v>16</v>
      </c>
      <c r="O11" t="s">
        <v>16</v>
      </c>
      <c r="P11" t="s">
        <v>16</v>
      </c>
      <c r="Q11" t="s">
        <v>16</v>
      </c>
      <c r="R11" t="s">
        <v>16</v>
      </c>
    </row>
    <row r="12" spans="1:18" x14ac:dyDescent="0.3">
      <c r="A12" t="s">
        <v>19</v>
      </c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s="7">
        <f t="shared" si="0"/>
        <v>1</v>
      </c>
      <c r="L12" t="s">
        <v>16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</row>
    <row r="13" spans="1:18" x14ac:dyDescent="0.3">
      <c r="A13" t="s">
        <v>20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s="7">
        <f t="shared" si="0"/>
        <v>1</v>
      </c>
      <c r="L13" t="s">
        <v>16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</row>
    <row r="14" spans="1:18" x14ac:dyDescent="0.3">
      <c r="A14" t="s">
        <v>21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s="7">
        <f t="shared" si="0"/>
        <v>1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</row>
    <row r="15" spans="1:18" x14ac:dyDescent="0.3">
      <c r="A15" t="s">
        <v>22</v>
      </c>
      <c r="B15" t="s">
        <v>16</v>
      </c>
      <c r="C15" t="s">
        <v>16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s="7">
        <f t="shared" si="0"/>
        <v>1</v>
      </c>
      <c r="L15" t="s">
        <v>16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</row>
    <row r="16" spans="1:18" x14ac:dyDescent="0.3">
      <c r="A16" t="s">
        <v>23</v>
      </c>
      <c r="B16" t="s">
        <v>24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s="7">
        <f t="shared" si="0"/>
        <v>1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</row>
    <row r="17" spans="1:18" x14ac:dyDescent="0.3">
      <c r="A17" t="s">
        <v>25</v>
      </c>
      <c r="B17" t="s">
        <v>16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s="7">
        <f t="shared" si="0"/>
        <v>1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</row>
    <row r="18" spans="1:18" x14ac:dyDescent="0.3">
      <c r="A18" t="s">
        <v>26</v>
      </c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s="7">
        <f t="shared" si="0"/>
        <v>1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</row>
    <row r="19" spans="1:18" x14ac:dyDescent="0.3">
      <c r="A19" t="s">
        <v>27</v>
      </c>
      <c r="B19" t="s">
        <v>16</v>
      </c>
      <c r="C19" t="s">
        <v>16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s="7">
        <f t="shared" si="0"/>
        <v>1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</row>
    <row r="20" spans="1:18" x14ac:dyDescent="0.3">
      <c r="A20" t="s">
        <v>28</v>
      </c>
      <c r="B20" t="s">
        <v>16</v>
      </c>
      <c r="C20" t="s">
        <v>16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s="7">
        <f t="shared" si="0"/>
        <v>1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</row>
    <row r="21" spans="1:18" x14ac:dyDescent="0.3">
      <c r="A21" t="s">
        <v>29</v>
      </c>
      <c r="B21" t="s">
        <v>30</v>
      </c>
      <c r="C21" t="s">
        <v>30</v>
      </c>
      <c r="D21" t="s">
        <v>30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s="7">
        <f t="shared" si="0"/>
        <v>1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</row>
    <row r="22" spans="1:18" x14ac:dyDescent="0.3">
      <c r="A22" t="s">
        <v>31</v>
      </c>
      <c r="B22" t="s">
        <v>24</v>
      </c>
      <c r="C22" t="s">
        <v>24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s="7">
        <f t="shared" si="0"/>
        <v>1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</row>
    <row r="23" spans="1:18" x14ac:dyDescent="0.3">
      <c r="A23" t="s">
        <v>32</v>
      </c>
      <c r="B23" t="s">
        <v>24</v>
      </c>
      <c r="C23" t="s">
        <v>24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s="7">
        <f t="shared" si="0"/>
        <v>1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  <c r="Q23" t="s">
        <v>24</v>
      </c>
      <c r="R23" t="s">
        <v>24</v>
      </c>
    </row>
    <row r="24" spans="1:18" x14ac:dyDescent="0.3">
      <c r="A24" t="s">
        <v>33</v>
      </c>
      <c r="B24" t="s">
        <v>16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s="7">
        <f t="shared" si="0"/>
        <v>1</v>
      </c>
      <c r="L24" t="s">
        <v>16</v>
      </c>
      <c r="M24" t="s">
        <v>16</v>
      </c>
      <c r="N24" t="s">
        <v>16</v>
      </c>
      <c r="O24" t="s">
        <v>16</v>
      </c>
      <c r="P24" t="s">
        <v>16</v>
      </c>
      <c r="Q24" t="s">
        <v>16</v>
      </c>
      <c r="R24" t="s">
        <v>16</v>
      </c>
    </row>
    <row r="25" spans="1:18" x14ac:dyDescent="0.3">
      <c r="A25" t="s">
        <v>34</v>
      </c>
      <c r="B25" t="s">
        <v>16</v>
      </c>
      <c r="C25" t="s">
        <v>16</v>
      </c>
      <c r="D25" t="s">
        <v>16</v>
      </c>
      <c r="E25" t="s">
        <v>16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s="7">
        <f t="shared" si="0"/>
        <v>1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  <c r="R25" t="s">
        <v>16</v>
      </c>
    </row>
    <row r="26" spans="1:18" x14ac:dyDescent="0.3">
      <c r="A26" t="s">
        <v>35</v>
      </c>
      <c r="B26" t="s">
        <v>16</v>
      </c>
      <c r="C26" t="s">
        <v>16</v>
      </c>
      <c r="D26" t="s">
        <v>16</v>
      </c>
      <c r="E26" t="s">
        <v>16</v>
      </c>
      <c r="F26" t="s">
        <v>16</v>
      </c>
      <c r="G26" t="s">
        <v>16</v>
      </c>
      <c r="H26" t="s">
        <v>16</v>
      </c>
      <c r="I26" t="s">
        <v>16</v>
      </c>
      <c r="J26" t="s">
        <v>16</v>
      </c>
      <c r="K26" s="7">
        <f t="shared" si="0"/>
        <v>1</v>
      </c>
      <c r="L26" t="s">
        <v>16</v>
      </c>
      <c r="M26" t="s">
        <v>16</v>
      </c>
      <c r="N26" t="s">
        <v>16</v>
      </c>
      <c r="O26" t="s">
        <v>16</v>
      </c>
      <c r="P26" t="s">
        <v>16</v>
      </c>
      <c r="Q26" t="s">
        <v>16</v>
      </c>
      <c r="R26" t="s">
        <v>16</v>
      </c>
    </row>
    <row r="27" spans="1:18" x14ac:dyDescent="0.3">
      <c r="A27" t="s">
        <v>36</v>
      </c>
      <c r="B27" t="s">
        <v>37</v>
      </c>
      <c r="C27" t="s">
        <v>37</v>
      </c>
      <c r="D27" t="s">
        <v>37</v>
      </c>
      <c r="E27" t="s">
        <v>37</v>
      </c>
      <c r="F27" t="s">
        <v>37</v>
      </c>
      <c r="G27" t="s">
        <v>37</v>
      </c>
      <c r="H27" t="s">
        <v>37</v>
      </c>
      <c r="I27" t="s">
        <v>37</v>
      </c>
      <c r="J27" t="s">
        <v>37</v>
      </c>
      <c r="K27" s="7">
        <f t="shared" si="0"/>
        <v>1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</row>
    <row r="28" spans="1:18" x14ac:dyDescent="0.3">
      <c r="A28" t="s">
        <v>38</v>
      </c>
      <c r="B28" t="s">
        <v>37</v>
      </c>
      <c r="C28" t="s">
        <v>37</v>
      </c>
      <c r="D28" t="s">
        <v>37</v>
      </c>
      <c r="E28" t="s">
        <v>37</v>
      </c>
      <c r="F28" t="s">
        <v>37</v>
      </c>
      <c r="G28" t="s">
        <v>37</v>
      </c>
      <c r="H28" t="s">
        <v>37</v>
      </c>
      <c r="I28" t="s">
        <v>37</v>
      </c>
      <c r="J28" t="s">
        <v>37</v>
      </c>
      <c r="K28" s="7">
        <f t="shared" si="0"/>
        <v>1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</row>
    <row r="29" spans="1:18" x14ac:dyDescent="0.3">
      <c r="A29" t="s">
        <v>39</v>
      </c>
      <c r="B29" t="s">
        <v>30</v>
      </c>
      <c r="C29" t="s">
        <v>30</v>
      </c>
      <c r="D29" t="s">
        <v>30</v>
      </c>
      <c r="E29" t="s">
        <v>30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s="7">
        <f t="shared" si="0"/>
        <v>1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</row>
    <row r="30" spans="1:18" x14ac:dyDescent="0.3">
      <c r="A30" t="s">
        <v>40</v>
      </c>
      <c r="B30" t="s">
        <v>30</v>
      </c>
      <c r="C30" t="s">
        <v>30</v>
      </c>
      <c r="D30" t="s">
        <v>30</v>
      </c>
      <c r="E30" t="s">
        <v>30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s="7">
        <f t="shared" si="0"/>
        <v>1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</row>
    <row r="31" spans="1:18" x14ac:dyDescent="0.3">
      <c r="A31" t="s">
        <v>41</v>
      </c>
      <c r="B31" t="s">
        <v>24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s="7">
        <f t="shared" si="0"/>
        <v>1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</row>
    <row r="32" spans="1:18" x14ac:dyDescent="0.3">
      <c r="A32" t="s">
        <v>42</v>
      </c>
      <c r="B32" t="s">
        <v>30</v>
      </c>
      <c r="C32" t="s">
        <v>30</v>
      </c>
      <c r="D32" t="s">
        <v>30</v>
      </c>
      <c r="E32" t="s">
        <v>30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s="7">
        <f t="shared" si="0"/>
        <v>1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</row>
    <row r="33" spans="1:18" x14ac:dyDescent="0.3">
      <c r="A33" t="s">
        <v>43</v>
      </c>
      <c r="B33" t="s">
        <v>44</v>
      </c>
      <c r="C33" t="s">
        <v>44</v>
      </c>
      <c r="D33" t="s">
        <v>44</v>
      </c>
      <c r="E33" t="s">
        <v>44</v>
      </c>
      <c r="F33" t="s">
        <v>44</v>
      </c>
      <c r="G33" t="s">
        <v>44</v>
      </c>
      <c r="H33" t="s">
        <v>44</v>
      </c>
      <c r="I33" t="s">
        <v>44</v>
      </c>
      <c r="J33" t="s">
        <v>44</v>
      </c>
      <c r="K33" s="7">
        <f t="shared" si="0"/>
        <v>1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</row>
    <row r="34" spans="1:18" x14ac:dyDescent="0.3">
      <c r="A34" t="s">
        <v>45</v>
      </c>
      <c r="B34" t="s">
        <v>44</v>
      </c>
      <c r="C34" t="s">
        <v>44</v>
      </c>
      <c r="D34" t="s">
        <v>44</v>
      </c>
      <c r="E34" t="s">
        <v>44</v>
      </c>
      <c r="F34" t="s">
        <v>44</v>
      </c>
      <c r="G34" t="s">
        <v>44</v>
      </c>
      <c r="H34" t="s">
        <v>44</v>
      </c>
      <c r="I34" t="s">
        <v>44</v>
      </c>
      <c r="J34" t="s">
        <v>44</v>
      </c>
      <c r="K34" s="7">
        <f t="shared" si="0"/>
        <v>1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</row>
    <row r="35" spans="1:18" x14ac:dyDescent="0.3">
      <c r="A35" t="s">
        <v>46</v>
      </c>
      <c r="B35" t="s">
        <v>16</v>
      </c>
      <c r="C35" t="s">
        <v>16</v>
      </c>
      <c r="D35" t="s">
        <v>16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s="7">
        <f t="shared" si="0"/>
        <v>1</v>
      </c>
      <c r="L35" t="s">
        <v>16</v>
      </c>
      <c r="M35" t="s">
        <v>16</v>
      </c>
      <c r="N35" t="s">
        <v>16</v>
      </c>
      <c r="O35" t="s">
        <v>16</v>
      </c>
      <c r="P35" t="s">
        <v>16</v>
      </c>
      <c r="Q35" t="s">
        <v>16</v>
      </c>
      <c r="R35" t="s">
        <v>16</v>
      </c>
    </row>
    <row r="36" spans="1:18" x14ac:dyDescent="0.3">
      <c r="A36" t="s">
        <v>47</v>
      </c>
      <c r="B36" t="s">
        <v>24</v>
      </c>
      <c r="C36" t="s">
        <v>24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s="7">
        <f t="shared" si="0"/>
        <v>1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</row>
    <row r="37" spans="1:18" x14ac:dyDescent="0.3">
      <c r="A37" t="s">
        <v>48</v>
      </c>
      <c r="B37" t="s">
        <v>16</v>
      </c>
      <c r="C37" t="s">
        <v>16</v>
      </c>
      <c r="D37" t="s">
        <v>16</v>
      </c>
      <c r="E37" t="s">
        <v>16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  <c r="K37" s="7">
        <f t="shared" si="0"/>
        <v>1</v>
      </c>
      <c r="L37" t="s">
        <v>16</v>
      </c>
      <c r="M37" t="s">
        <v>16</v>
      </c>
      <c r="N37" t="s">
        <v>16</v>
      </c>
      <c r="O37" t="s">
        <v>16</v>
      </c>
      <c r="P37" t="s">
        <v>16</v>
      </c>
      <c r="Q37" t="s">
        <v>16</v>
      </c>
      <c r="R37" t="s">
        <v>16</v>
      </c>
    </row>
    <row r="38" spans="1:18" x14ac:dyDescent="0.3">
      <c r="A38" t="s">
        <v>49</v>
      </c>
      <c r="B38" t="s">
        <v>30</v>
      </c>
      <c r="C38" t="s">
        <v>30</v>
      </c>
      <c r="D38" t="s">
        <v>30</v>
      </c>
      <c r="E38" t="s">
        <v>30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s="7">
        <f t="shared" si="0"/>
        <v>1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</row>
    <row r="39" spans="1:18" x14ac:dyDescent="0.3">
      <c r="A39" t="s">
        <v>50</v>
      </c>
      <c r="B39" t="s">
        <v>30</v>
      </c>
      <c r="C39" t="s">
        <v>30</v>
      </c>
      <c r="D39" t="s">
        <v>30</v>
      </c>
      <c r="E39" t="s">
        <v>30</v>
      </c>
      <c r="F39" t="s">
        <v>30</v>
      </c>
      <c r="G39" t="s">
        <v>30</v>
      </c>
      <c r="H39" t="s">
        <v>30</v>
      </c>
      <c r="I39" t="s">
        <v>30</v>
      </c>
      <c r="J39" t="s">
        <v>30</v>
      </c>
      <c r="K39" s="7">
        <f t="shared" si="0"/>
        <v>1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</row>
    <row r="40" spans="1:18" x14ac:dyDescent="0.3">
      <c r="A40" t="s">
        <v>51</v>
      </c>
      <c r="B40" t="s">
        <v>16</v>
      </c>
      <c r="C40" t="s">
        <v>16</v>
      </c>
      <c r="D40" t="s">
        <v>16</v>
      </c>
      <c r="E40" t="s">
        <v>16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s="7">
        <f t="shared" si="0"/>
        <v>1</v>
      </c>
      <c r="L40" t="s">
        <v>16</v>
      </c>
      <c r="M40" t="s">
        <v>16</v>
      </c>
      <c r="N40" t="s">
        <v>16</v>
      </c>
      <c r="O40" t="s">
        <v>16</v>
      </c>
      <c r="P40" t="s">
        <v>16</v>
      </c>
      <c r="Q40" t="s">
        <v>16</v>
      </c>
      <c r="R40" t="s">
        <v>16</v>
      </c>
    </row>
    <row r="41" spans="1:18" x14ac:dyDescent="0.3">
      <c r="A41" t="s">
        <v>52</v>
      </c>
      <c r="B41" t="s">
        <v>16</v>
      </c>
      <c r="C41" t="s">
        <v>16</v>
      </c>
      <c r="D41" t="s">
        <v>16</v>
      </c>
      <c r="E41" t="s">
        <v>16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  <c r="K41" s="7">
        <f t="shared" si="0"/>
        <v>1</v>
      </c>
      <c r="L41" t="s">
        <v>16</v>
      </c>
      <c r="M41" t="s">
        <v>16</v>
      </c>
      <c r="N41" t="s">
        <v>16</v>
      </c>
      <c r="O41" t="s">
        <v>16</v>
      </c>
      <c r="P41" t="s">
        <v>16</v>
      </c>
      <c r="Q41" t="s">
        <v>16</v>
      </c>
      <c r="R41" t="s">
        <v>16</v>
      </c>
    </row>
    <row r="42" spans="1:18" x14ac:dyDescent="0.3">
      <c r="A42" t="s">
        <v>53</v>
      </c>
      <c r="B42" t="s">
        <v>37</v>
      </c>
      <c r="C42" t="s">
        <v>37</v>
      </c>
      <c r="D42" t="s">
        <v>37</v>
      </c>
      <c r="E42" t="s">
        <v>37</v>
      </c>
      <c r="F42" t="s">
        <v>37</v>
      </c>
      <c r="G42" t="s">
        <v>37</v>
      </c>
      <c r="H42" t="s">
        <v>37</v>
      </c>
      <c r="I42" t="s">
        <v>37</v>
      </c>
      <c r="J42" t="s">
        <v>37</v>
      </c>
      <c r="K42" s="7">
        <f t="shared" si="0"/>
        <v>1</v>
      </c>
      <c r="L42" t="s">
        <v>37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37</v>
      </c>
    </row>
    <row r="43" spans="1:18" x14ac:dyDescent="0.3">
      <c r="A43" t="s">
        <v>54</v>
      </c>
      <c r="B43" t="s">
        <v>24</v>
      </c>
      <c r="C43" t="s">
        <v>24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s="7">
        <f t="shared" si="0"/>
        <v>1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</row>
    <row r="44" spans="1:18" x14ac:dyDescent="0.3">
      <c r="A44" t="s">
        <v>57</v>
      </c>
      <c r="B44" t="s">
        <v>44</v>
      </c>
      <c r="C44" t="s">
        <v>44</v>
      </c>
      <c r="D44" t="s">
        <v>44</v>
      </c>
      <c r="E44" t="s">
        <v>44</v>
      </c>
      <c r="F44" t="s">
        <v>44</v>
      </c>
      <c r="G44" t="s">
        <v>44</v>
      </c>
      <c r="H44" t="s">
        <v>44</v>
      </c>
      <c r="I44" t="s">
        <v>44</v>
      </c>
      <c r="J44" t="s">
        <v>44</v>
      </c>
      <c r="K44" s="7">
        <f t="shared" si="0"/>
        <v>1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</row>
    <row r="45" spans="1:18" x14ac:dyDescent="0.3">
      <c r="A45" t="s">
        <v>58</v>
      </c>
      <c r="B45" t="s">
        <v>16</v>
      </c>
      <c r="C45" t="s">
        <v>16</v>
      </c>
      <c r="D45" t="s">
        <v>16</v>
      </c>
      <c r="E45" t="s">
        <v>16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  <c r="K45" s="7">
        <f t="shared" si="0"/>
        <v>1</v>
      </c>
      <c r="L45" t="s">
        <v>16</v>
      </c>
      <c r="M45" t="s">
        <v>16</v>
      </c>
      <c r="N45" t="s">
        <v>16</v>
      </c>
      <c r="O45" t="s">
        <v>16</v>
      </c>
      <c r="P45" t="s">
        <v>16</v>
      </c>
      <c r="Q45" t="s">
        <v>16</v>
      </c>
      <c r="R45" t="s">
        <v>16</v>
      </c>
    </row>
    <row r="46" spans="1:18" x14ac:dyDescent="0.3">
      <c r="A46" t="s">
        <v>59</v>
      </c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s="7">
        <f t="shared" si="0"/>
        <v>1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</row>
    <row r="47" spans="1:18" x14ac:dyDescent="0.3">
      <c r="A47" t="s">
        <v>60</v>
      </c>
      <c r="B47" t="s">
        <v>24</v>
      </c>
      <c r="C47" t="s">
        <v>24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s="7">
        <f t="shared" si="0"/>
        <v>1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</row>
    <row r="48" spans="1:18" x14ac:dyDescent="0.3">
      <c r="A48" t="s">
        <v>61</v>
      </c>
      <c r="B48" t="s">
        <v>16</v>
      </c>
      <c r="C48" t="s">
        <v>16</v>
      </c>
      <c r="D48" t="s">
        <v>16</v>
      </c>
      <c r="E48" t="s">
        <v>16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  <c r="K48" s="7">
        <f t="shared" si="0"/>
        <v>1</v>
      </c>
      <c r="L48" t="s">
        <v>16</v>
      </c>
      <c r="M48" t="s">
        <v>16</v>
      </c>
      <c r="N48" t="s">
        <v>16</v>
      </c>
      <c r="O48" t="s">
        <v>16</v>
      </c>
      <c r="P48" t="s">
        <v>16</v>
      </c>
      <c r="Q48" t="s">
        <v>16</v>
      </c>
      <c r="R48" t="s">
        <v>16</v>
      </c>
    </row>
    <row r="49" spans="1:18" x14ac:dyDescent="0.3">
      <c r="A49" t="s">
        <v>62</v>
      </c>
      <c r="B49" t="s">
        <v>30</v>
      </c>
      <c r="C49" t="s">
        <v>30</v>
      </c>
      <c r="D49" t="s">
        <v>30</v>
      </c>
      <c r="E49" t="s">
        <v>30</v>
      </c>
      <c r="F49" t="s">
        <v>30</v>
      </c>
      <c r="G49" t="s">
        <v>30</v>
      </c>
      <c r="H49" t="s">
        <v>30</v>
      </c>
      <c r="I49" t="s">
        <v>30</v>
      </c>
      <c r="J49" t="s">
        <v>30</v>
      </c>
      <c r="K49" s="7">
        <f t="shared" si="0"/>
        <v>1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</row>
    <row r="50" spans="1:18" x14ac:dyDescent="0.3">
      <c r="A50" t="s">
        <v>63</v>
      </c>
      <c r="B50" t="s">
        <v>30</v>
      </c>
      <c r="C50" t="s">
        <v>30</v>
      </c>
      <c r="D50" t="s">
        <v>30</v>
      </c>
      <c r="E50" t="s">
        <v>30</v>
      </c>
      <c r="F50" t="s">
        <v>30</v>
      </c>
      <c r="G50" t="s">
        <v>30</v>
      </c>
      <c r="H50" t="s">
        <v>30</v>
      </c>
      <c r="I50" t="s">
        <v>30</v>
      </c>
      <c r="J50" t="s">
        <v>30</v>
      </c>
      <c r="K50" s="7">
        <f t="shared" si="0"/>
        <v>1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</row>
    <row r="51" spans="1:18" x14ac:dyDescent="0.3">
      <c r="A51" t="s">
        <v>64</v>
      </c>
      <c r="B51" t="s">
        <v>30</v>
      </c>
      <c r="C51" t="s">
        <v>30</v>
      </c>
      <c r="D51" t="s">
        <v>30</v>
      </c>
      <c r="E51" t="s">
        <v>30</v>
      </c>
      <c r="F51" t="s">
        <v>30</v>
      </c>
      <c r="G51" t="s">
        <v>30</v>
      </c>
      <c r="H51" t="s">
        <v>30</v>
      </c>
      <c r="I51" t="s">
        <v>30</v>
      </c>
      <c r="J51" t="s">
        <v>30</v>
      </c>
      <c r="K51" s="7">
        <f t="shared" si="0"/>
        <v>1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</row>
    <row r="52" spans="1:18" x14ac:dyDescent="0.3">
      <c r="A52" t="s">
        <v>65</v>
      </c>
      <c r="B52" t="s">
        <v>30</v>
      </c>
      <c r="C52" t="s">
        <v>30</v>
      </c>
      <c r="D52" t="s">
        <v>30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t="s">
        <v>30</v>
      </c>
      <c r="K52" s="7">
        <f t="shared" si="0"/>
        <v>1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</row>
    <row r="53" spans="1:18" x14ac:dyDescent="0.3">
      <c r="A53" t="s">
        <v>66</v>
      </c>
      <c r="B53" t="s">
        <v>37</v>
      </c>
      <c r="C53" t="s">
        <v>37</v>
      </c>
      <c r="D53" t="s">
        <v>37</v>
      </c>
      <c r="E53" t="s">
        <v>37</v>
      </c>
      <c r="F53" t="s">
        <v>37</v>
      </c>
      <c r="G53" t="s">
        <v>37</v>
      </c>
      <c r="H53" t="s">
        <v>37</v>
      </c>
      <c r="I53" t="s">
        <v>37</v>
      </c>
      <c r="J53" t="s">
        <v>37</v>
      </c>
      <c r="K53" s="7">
        <f t="shared" si="0"/>
        <v>1</v>
      </c>
      <c r="L53" t="s">
        <v>37</v>
      </c>
      <c r="M53" t="s">
        <v>37</v>
      </c>
      <c r="N53" t="s">
        <v>37</v>
      </c>
      <c r="O53" t="s">
        <v>37</v>
      </c>
      <c r="P53" t="s">
        <v>37</v>
      </c>
      <c r="Q53" t="s">
        <v>37</v>
      </c>
      <c r="R53" t="s">
        <v>37</v>
      </c>
    </row>
    <row r="54" spans="1:18" x14ac:dyDescent="0.3">
      <c r="A54" t="s">
        <v>67</v>
      </c>
      <c r="B54" t="s">
        <v>16</v>
      </c>
      <c r="C54" t="s">
        <v>16</v>
      </c>
      <c r="D54" t="s">
        <v>16</v>
      </c>
      <c r="E54" t="s">
        <v>16</v>
      </c>
      <c r="F54" t="s">
        <v>16</v>
      </c>
      <c r="G54" t="s">
        <v>16</v>
      </c>
      <c r="H54" t="s">
        <v>16</v>
      </c>
      <c r="I54" t="s">
        <v>16</v>
      </c>
      <c r="J54" t="s">
        <v>16</v>
      </c>
      <c r="K54" s="7">
        <f t="shared" si="0"/>
        <v>1</v>
      </c>
      <c r="L54" t="s">
        <v>16</v>
      </c>
      <c r="M54" t="s">
        <v>16</v>
      </c>
      <c r="N54" t="s">
        <v>16</v>
      </c>
      <c r="O54" t="s">
        <v>16</v>
      </c>
      <c r="P54" t="s">
        <v>16</v>
      </c>
      <c r="Q54" t="s">
        <v>16</v>
      </c>
      <c r="R54" t="s">
        <v>16</v>
      </c>
    </row>
    <row r="55" spans="1:18" x14ac:dyDescent="0.3">
      <c r="A55" t="s">
        <v>68</v>
      </c>
      <c r="B55" t="s">
        <v>16</v>
      </c>
      <c r="C55" t="s">
        <v>16</v>
      </c>
      <c r="D55" t="s">
        <v>16</v>
      </c>
      <c r="E55" t="s">
        <v>16</v>
      </c>
      <c r="F55" t="s">
        <v>16</v>
      </c>
      <c r="G55" t="s">
        <v>16</v>
      </c>
      <c r="H55" t="s">
        <v>16</v>
      </c>
      <c r="I55" t="s">
        <v>16</v>
      </c>
      <c r="J55" t="s">
        <v>16</v>
      </c>
      <c r="K55" s="7">
        <f t="shared" si="0"/>
        <v>1</v>
      </c>
      <c r="L55" t="s">
        <v>16</v>
      </c>
      <c r="M55" t="s">
        <v>16</v>
      </c>
      <c r="N55" t="s">
        <v>16</v>
      </c>
      <c r="O55" t="s">
        <v>16</v>
      </c>
      <c r="P55" t="s">
        <v>16</v>
      </c>
      <c r="Q55" t="s">
        <v>16</v>
      </c>
      <c r="R55" t="s">
        <v>16</v>
      </c>
    </row>
    <row r="56" spans="1:18" x14ac:dyDescent="0.3">
      <c r="A56" t="s">
        <v>69</v>
      </c>
      <c r="B56" t="s">
        <v>44</v>
      </c>
      <c r="C56" t="s">
        <v>44</v>
      </c>
      <c r="D56" t="s">
        <v>44</v>
      </c>
      <c r="E56" t="s">
        <v>44</v>
      </c>
      <c r="F56" t="s">
        <v>44</v>
      </c>
      <c r="G56" t="s">
        <v>44</v>
      </c>
      <c r="H56" t="s">
        <v>44</v>
      </c>
      <c r="I56" t="s">
        <v>44</v>
      </c>
      <c r="J56" t="s">
        <v>44</v>
      </c>
      <c r="K56" s="7">
        <f t="shared" si="0"/>
        <v>1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</row>
    <row r="57" spans="1:18" x14ac:dyDescent="0.3">
      <c r="A57" t="s">
        <v>70</v>
      </c>
      <c r="B57" t="s">
        <v>30</v>
      </c>
      <c r="C57" t="s">
        <v>30</v>
      </c>
      <c r="D57" t="s">
        <v>30</v>
      </c>
      <c r="E57" t="s">
        <v>30</v>
      </c>
      <c r="F57" t="s">
        <v>30</v>
      </c>
      <c r="G57" t="s">
        <v>30</v>
      </c>
      <c r="H57" t="s">
        <v>30</v>
      </c>
      <c r="I57" t="s">
        <v>30</v>
      </c>
      <c r="J57" t="s">
        <v>30</v>
      </c>
      <c r="K57" s="7">
        <f t="shared" si="0"/>
        <v>1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</row>
    <row r="58" spans="1:18" x14ac:dyDescent="0.3">
      <c r="A58" t="s">
        <v>71</v>
      </c>
      <c r="B58" t="s">
        <v>16</v>
      </c>
      <c r="C58" t="s">
        <v>16</v>
      </c>
      <c r="D58" t="s">
        <v>16</v>
      </c>
      <c r="E58" t="s">
        <v>16</v>
      </c>
      <c r="F58" t="s">
        <v>16</v>
      </c>
      <c r="G58" t="s">
        <v>16</v>
      </c>
      <c r="H58" t="s">
        <v>16</v>
      </c>
      <c r="I58" t="s">
        <v>16</v>
      </c>
      <c r="J58" t="s">
        <v>16</v>
      </c>
      <c r="K58" s="7">
        <f t="shared" si="0"/>
        <v>1</v>
      </c>
      <c r="L58" t="s">
        <v>16</v>
      </c>
      <c r="M58" t="s">
        <v>16</v>
      </c>
      <c r="N58" t="s">
        <v>16</v>
      </c>
      <c r="O58" t="s">
        <v>16</v>
      </c>
      <c r="P58" t="s">
        <v>16</v>
      </c>
      <c r="Q58" t="s">
        <v>16</v>
      </c>
      <c r="R58" t="s">
        <v>16</v>
      </c>
    </row>
    <row r="59" spans="1:18" x14ac:dyDescent="0.3">
      <c r="A59" t="s">
        <v>72</v>
      </c>
      <c r="B59" t="s">
        <v>24</v>
      </c>
      <c r="C59" t="s">
        <v>24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s="7">
        <f t="shared" si="0"/>
        <v>1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</row>
    <row r="60" spans="1:18" x14ac:dyDescent="0.3">
      <c r="A60" t="s">
        <v>73</v>
      </c>
      <c r="B60" t="s">
        <v>44</v>
      </c>
      <c r="C60" t="s">
        <v>44</v>
      </c>
      <c r="D60" t="s">
        <v>44</v>
      </c>
      <c r="E60" t="s">
        <v>44</v>
      </c>
      <c r="F60" t="s">
        <v>44</v>
      </c>
      <c r="G60" t="s">
        <v>44</v>
      </c>
      <c r="H60" t="s">
        <v>44</v>
      </c>
      <c r="I60" t="s">
        <v>44</v>
      </c>
      <c r="J60" t="s">
        <v>44</v>
      </c>
      <c r="K60" s="7">
        <f t="shared" si="0"/>
        <v>1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</row>
    <row r="61" spans="1:18" x14ac:dyDescent="0.3">
      <c r="A61" t="s">
        <v>74</v>
      </c>
      <c r="B61" t="s">
        <v>16</v>
      </c>
      <c r="C61" t="s">
        <v>16</v>
      </c>
      <c r="D61" t="s">
        <v>16</v>
      </c>
      <c r="E61" t="s">
        <v>16</v>
      </c>
      <c r="F61" t="s">
        <v>16</v>
      </c>
      <c r="G61" t="s">
        <v>16</v>
      </c>
      <c r="H61" t="s">
        <v>16</v>
      </c>
      <c r="I61" t="s">
        <v>16</v>
      </c>
      <c r="J61" t="s">
        <v>16</v>
      </c>
      <c r="K61" s="7">
        <f t="shared" si="0"/>
        <v>1</v>
      </c>
      <c r="L61" t="s">
        <v>16</v>
      </c>
      <c r="M61" t="s">
        <v>16</v>
      </c>
      <c r="N61" t="s">
        <v>16</v>
      </c>
      <c r="O61" t="s">
        <v>16</v>
      </c>
      <c r="P61" t="s">
        <v>16</v>
      </c>
      <c r="Q61" t="s">
        <v>16</v>
      </c>
      <c r="R61" t="s">
        <v>16</v>
      </c>
    </row>
    <row r="62" spans="1:18" x14ac:dyDescent="0.3">
      <c r="A62" t="s">
        <v>75</v>
      </c>
      <c r="B62" t="s">
        <v>37</v>
      </c>
      <c r="C62" t="s">
        <v>37</v>
      </c>
      <c r="D62" t="s">
        <v>37</v>
      </c>
      <c r="E62" t="s">
        <v>37</v>
      </c>
      <c r="F62" t="s">
        <v>37</v>
      </c>
      <c r="G62" t="s">
        <v>37</v>
      </c>
      <c r="H62" t="s">
        <v>37</v>
      </c>
      <c r="I62" t="s">
        <v>37</v>
      </c>
      <c r="J62" t="s">
        <v>37</v>
      </c>
      <c r="K62" s="7">
        <f t="shared" si="0"/>
        <v>1</v>
      </c>
      <c r="L62" t="s">
        <v>37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</row>
    <row r="63" spans="1:18" x14ac:dyDescent="0.3">
      <c r="A63" t="s">
        <v>76</v>
      </c>
      <c r="B63" t="s">
        <v>30</v>
      </c>
      <c r="C63" t="s">
        <v>30</v>
      </c>
      <c r="D63" t="s">
        <v>30</v>
      </c>
      <c r="E63" t="s">
        <v>30</v>
      </c>
      <c r="F63" t="s">
        <v>30</v>
      </c>
      <c r="G63" t="s">
        <v>30</v>
      </c>
      <c r="H63" t="s">
        <v>30</v>
      </c>
      <c r="I63" t="s">
        <v>30</v>
      </c>
      <c r="J63" t="s">
        <v>30</v>
      </c>
      <c r="K63" s="7">
        <f t="shared" si="0"/>
        <v>1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30</v>
      </c>
      <c r="R63" t="s">
        <v>30</v>
      </c>
    </row>
    <row r="64" spans="1:18" x14ac:dyDescent="0.3">
      <c r="A64" t="s">
        <v>77</v>
      </c>
      <c r="B64" t="s">
        <v>30</v>
      </c>
      <c r="C64" t="s">
        <v>30</v>
      </c>
      <c r="D64" t="s">
        <v>30</v>
      </c>
      <c r="E64" t="s">
        <v>30</v>
      </c>
      <c r="F64" t="s">
        <v>30</v>
      </c>
      <c r="G64" t="s">
        <v>30</v>
      </c>
      <c r="H64" t="s">
        <v>30</v>
      </c>
      <c r="I64" t="s">
        <v>30</v>
      </c>
      <c r="J64" t="s">
        <v>30</v>
      </c>
      <c r="K64" s="7">
        <f t="shared" si="0"/>
        <v>1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30</v>
      </c>
      <c r="R64" t="s">
        <v>30</v>
      </c>
    </row>
    <row r="65" spans="1:18" x14ac:dyDescent="0.3">
      <c r="A65" t="s">
        <v>78</v>
      </c>
      <c r="B65" t="s">
        <v>30</v>
      </c>
      <c r="C65" t="s">
        <v>30</v>
      </c>
      <c r="D65" t="s">
        <v>30</v>
      </c>
      <c r="E65" t="s">
        <v>30</v>
      </c>
      <c r="F65" t="s">
        <v>30</v>
      </c>
      <c r="G65" t="s">
        <v>30</v>
      </c>
      <c r="H65" t="s">
        <v>30</v>
      </c>
      <c r="I65" t="s">
        <v>30</v>
      </c>
      <c r="J65" t="s">
        <v>30</v>
      </c>
      <c r="K65" s="7">
        <f t="shared" si="0"/>
        <v>1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</row>
    <row r="66" spans="1:18" x14ac:dyDescent="0.3">
      <c r="A66" t="s">
        <v>79</v>
      </c>
      <c r="B66" t="s">
        <v>30</v>
      </c>
      <c r="C66" t="s">
        <v>30</v>
      </c>
      <c r="D66" t="s">
        <v>30</v>
      </c>
      <c r="E66" t="s">
        <v>30</v>
      </c>
      <c r="F66" t="s">
        <v>30</v>
      </c>
      <c r="G66" t="s">
        <v>30</v>
      </c>
      <c r="H66" t="s">
        <v>30</v>
      </c>
      <c r="I66" t="s">
        <v>30</v>
      </c>
      <c r="J66" t="s">
        <v>30</v>
      </c>
      <c r="K66" s="7">
        <f t="shared" si="0"/>
        <v>1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30</v>
      </c>
      <c r="R66" t="s">
        <v>30</v>
      </c>
    </row>
    <row r="67" spans="1:18" x14ac:dyDescent="0.3">
      <c r="A67" t="s">
        <v>80</v>
      </c>
      <c r="B67" t="s">
        <v>44</v>
      </c>
      <c r="C67" t="s">
        <v>44</v>
      </c>
      <c r="D67" t="s">
        <v>44</v>
      </c>
      <c r="E67" t="s">
        <v>44</v>
      </c>
      <c r="F67" t="s">
        <v>44</v>
      </c>
      <c r="G67" t="s">
        <v>44</v>
      </c>
      <c r="H67" t="s">
        <v>44</v>
      </c>
      <c r="I67" t="s">
        <v>44</v>
      </c>
      <c r="J67" t="s">
        <v>44</v>
      </c>
      <c r="K67" s="7">
        <f t="shared" ref="K67:K121" si="1">IF(AND(B67=C67,C67=D67,D67=E67,E67=F67,F67=G67,G67=H67,H67=I67,I67=J67), 1, 0)</f>
        <v>1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</row>
    <row r="68" spans="1:18" x14ac:dyDescent="0.3">
      <c r="A68" t="s">
        <v>81</v>
      </c>
      <c r="B68" t="s">
        <v>16</v>
      </c>
      <c r="C68" t="s">
        <v>16</v>
      </c>
      <c r="D68" t="s">
        <v>16</v>
      </c>
      <c r="E68" t="s">
        <v>16</v>
      </c>
      <c r="F68" t="s">
        <v>16</v>
      </c>
      <c r="G68" t="s">
        <v>16</v>
      </c>
      <c r="H68" t="s">
        <v>16</v>
      </c>
      <c r="I68" t="s">
        <v>16</v>
      </c>
      <c r="J68" t="s">
        <v>16</v>
      </c>
      <c r="K68" s="7">
        <f t="shared" si="1"/>
        <v>1</v>
      </c>
      <c r="L68" t="s">
        <v>16</v>
      </c>
      <c r="M68" t="s">
        <v>16</v>
      </c>
      <c r="N68" t="s">
        <v>16</v>
      </c>
      <c r="O68" t="s">
        <v>16</v>
      </c>
      <c r="P68" t="s">
        <v>16</v>
      </c>
      <c r="Q68" t="s">
        <v>16</v>
      </c>
      <c r="R68" t="s">
        <v>16</v>
      </c>
    </row>
    <row r="69" spans="1:18" x14ac:dyDescent="0.3">
      <c r="A69" t="s">
        <v>82</v>
      </c>
      <c r="B69" t="s">
        <v>44</v>
      </c>
      <c r="C69" t="s">
        <v>44</v>
      </c>
      <c r="D69" t="s">
        <v>44</v>
      </c>
      <c r="E69" t="s">
        <v>44</v>
      </c>
      <c r="F69" t="s">
        <v>44</v>
      </c>
      <c r="G69" t="s">
        <v>44</v>
      </c>
      <c r="H69" t="s">
        <v>44</v>
      </c>
      <c r="I69" t="s">
        <v>44</v>
      </c>
      <c r="J69" t="s">
        <v>44</v>
      </c>
      <c r="K69" s="7">
        <f t="shared" si="1"/>
        <v>1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</row>
    <row r="70" spans="1:18" x14ac:dyDescent="0.3">
      <c r="A70" t="s">
        <v>83</v>
      </c>
      <c r="B70" t="s">
        <v>30</v>
      </c>
      <c r="C70" t="s">
        <v>30</v>
      </c>
      <c r="D70" t="s">
        <v>30</v>
      </c>
      <c r="E70" t="s">
        <v>30</v>
      </c>
      <c r="F70" t="s">
        <v>30</v>
      </c>
      <c r="G70" t="s">
        <v>30</v>
      </c>
      <c r="H70" t="s">
        <v>30</v>
      </c>
      <c r="I70" t="s">
        <v>30</v>
      </c>
      <c r="J70" t="s">
        <v>30</v>
      </c>
      <c r="K70" s="7">
        <f t="shared" si="1"/>
        <v>1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30</v>
      </c>
    </row>
    <row r="71" spans="1:18" x14ac:dyDescent="0.3">
      <c r="A71" t="s">
        <v>84</v>
      </c>
      <c r="B71" t="s">
        <v>24</v>
      </c>
      <c r="C71" t="s">
        <v>24</v>
      </c>
      <c r="D71" t="s">
        <v>24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s="7">
        <f t="shared" si="1"/>
        <v>1</v>
      </c>
      <c r="L71" t="s">
        <v>24</v>
      </c>
      <c r="M71" t="s">
        <v>24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</row>
    <row r="72" spans="1:18" x14ac:dyDescent="0.3">
      <c r="A72" t="s">
        <v>85</v>
      </c>
      <c r="B72" t="s">
        <v>37</v>
      </c>
      <c r="C72" t="s">
        <v>37</v>
      </c>
      <c r="D72" t="s">
        <v>37</v>
      </c>
      <c r="E72" t="s">
        <v>37</v>
      </c>
      <c r="F72" t="s">
        <v>37</v>
      </c>
      <c r="G72" t="s">
        <v>37</v>
      </c>
      <c r="H72" t="s">
        <v>37</v>
      </c>
      <c r="I72" t="s">
        <v>37</v>
      </c>
      <c r="J72" t="s">
        <v>37</v>
      </c>
      <c r="K72" s="7">
        <f t="shared" si="1"/>
        <v>1</v>
      </c>
      <c r="L72" t="s">
        <v>37</v>
      </c>
      <c r="M72" t="s">
        <v>37</v>
      </c>
      <c r="N72" t="s">
        <v>37</v>
      </c>
      <c r="O72" t="s">
        <v>37</v>
      </c>
      <c r="P72" t="s">
        <v>37</v>
      </c>
      <c r="Q72" t="s">
        <v>37</v>
      </c>
      <c r="R72" t="s">
        <v>37</v>
      </c>
    </row>
    <row r="73" spans="1:18" x14ac:dyDescent="0.3">
      <c r="A73" t="s">
        <v>86</v>
      </c>
      <c r="B73" t="s">
        <v>24</v>
      </c>
      <c r="C73" t="s">
        <v>24</v>
      </c>
      <c r="D73" t="s">
        <v>24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24</v>
      </c>
      <c r="K73" s="7">
        <f t="shared" si="1"/>
        <v>1</v>
      </c>
      <c r="L73" t="s">
        <v>24</v>
      </c>
      <c r="M73" t="s">
        <v>24</v>
      </c>
      <c r="N73" t="s">
        <v>24</v>
      </c>
      <c r="O73" t="s">
        <v>24</v>
      </c>
      <c r="P73" t="s">
        <v>24</v>
      </c>
      <c r="Q73" t="s">
        <v>24</v>
      </c>
      <c r="R73" t="s">
        <v>24</v>
      </c>
    </row>
    <row r="74" spans="1:18" x14ac:dyDescent="0.3">
      <c r="A74" t="s">
        <v>87</v>
      </c>
      <c r="B74" t="s">
        <v>37</v>
      </c>
      <c r="C74" t="s">
        <v>37</v>
      </c>
      <c r="D74" t="s">
        <v>37</v>
      </c>
      <c r="E74" t="s">
        <v>37</v>
      </c>
      <c r="F74" t="s">
        <v>37</v>
      </c>
      <c r="G74" t="s">
        <v>37</v>
      </c>
      <c r="H74" t="s">
        <v>37</v>
      </c>
      <c r="I74" t="s">
        <v>37</v>
      </c>
      <c r="J74" t="s">
        <v>37</v>
      </c>
      <c r="K74" s="7">
        <f t="shared" si="1"/>
        <v>1</v>
      </c>
      <c r="L74" t="s">
        <v>37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</row>
    <row r="75" spans="1:18" x14ac:dyDescent="0.3">
      <c r="A75" t="s">
        <v>88</v>
      </c>
      <c r="B75" t="s">
        <v>44</v>
      </c>
      <c r="C75" t="s">
        <v>44</v>
      </c>
      <c r="D75" t="s">
        <v>44</v>
      </c>
      <c r="E75" t="s">
        <v>44</v>
      </c>
      <c r="F75" t="s">
        <v>44</v>
      </c>
      <c r="G75" t="s">
        <v>44</v>
      </c>
      <c r="H75" t="s">
        <v>44</v>
      </c>
      <c r="I75" t="s">
        <v>44</v>
      </c>
      <c r="J75" t="s">
        <v>44</v>
      </c>
      <c r="K75" s="7">
        <f t="shared" si="1"/>
        <v>1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</row>
    <row r="76" spans="1:18" x14ac:dyDescent="0.3">
      <c r="A76" t="s">
        <v>89</v>
      </c>
      <c r="B76" t="s">
        <v>30</v>
      </c>
      <c r="C76" t="s">
        <v>30</v>
      </c>
      <c r="D76" t="s">
        <v>30</v>
      </c>
      <c r="E76" t="s">
        <v>30</v>
      </c>
      <c r="F76" t="s">
        <v>30</v>
      </c>
      <c r="G76" t="s">
        <v>30</v>
      </c>
      <c r="H76" t="s">
        <v>30</v>
      </c>
      <c r="I76" t="s">
        <v>30</v>
      </c>
      <c r="J76" t="s">
        <v>30</v>
      </c>
      <c r="K76" s="7">
        <f t="shared" si="1"/>
        <v>1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30</v>
      </c>
      <c r="R76" t="s">
        <v>30</v>
      </c>
    </row>
    <row r="77" spans="1:18" x14ac:dyDescent="0.3">
      <c r="A77" t="s">
        <v>90</v>
      </c>
      <c r="B77" t="s">
        <v>16</v>
      </c>
      <c r="C77" t="s">
        <v>16</v>
      </c>
      <c r="D77" t="s">
        <v>16</v>
      </c>
      <c r="E77" t="s">
        <v>16</v>
      </c>
      <c r="F77" t="s">
        <v>16</v>
      </c>
      <c r="G77" t="s">
        <v>16</v>
      </c>
      <c r="H77" t="s">
        <v>16</v>
      </c>
      <c r="I77" t="s">
        <v>16</v>
      </c>
      <c r="J77" t="s">
        <v>16</v>
      </c>
      <c r="K77" s="7">
        <f t="shared" si="1"/>
        <v>1</v>
      </c>
      <c r="L77" t="s">
        <v>16</v>
      </c>
      <c r="M77" t="s">
        <v>16</v>
      </c>
      <c r="N77" t="s">
        <v>16</v>
      </c>
      <c r="O77" t="s">
        <v>16</v>
      </c>
      <c r="P77" t="s">
        <v>16</v>
      </c>
      <c r="Q77" t="s">
        <v>16</v>
      </c>
      <c r="R77" t="s">
        <v>16</v>
      </c>
    </row>
    <row r="78" spans="1:18" x14ac:dyDescent="0.3">
      <c r="A78" t="s">
        <v>91</v>
      </c>
      <c r="B78" t="s">
        <v>30</v>
      </c>
      <c r="C78" t="s">
        <v>30</v>
      </c>
      <c r="D78" t="s">
        <v>30</v>
      </c>
      <c r="E78" t="s">
        <v>30</v>
      </c>
      <c r="F78" t="s">
        <v>30</v>
      </c>
      <c r="G78" t="s">
        <v>30</v>
      </c>
      <c r="H78" t="s">
        <v>30</v>
      </c>
      <c r="I78" t="s">
        <v>30</v>
      </c>
      <c r="J78" t="s">
        <v>30</v>
      </c>
      <c r="K78" s="7">
        <f t="shared" si="1"/>
        <v>1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30</v>
      </c>
      <c r="R78" t="s">
        <v>30</v>
      </c>
    </row>
    <row r="79" spans="1:18" x14ac:dyDescent="0.3">
      <c r="A79" t="s">
        <v>92</v>
      </c>
      <c r="B79" t="s">
        <v>24</v>
      </c>
      <c r="C79" t="s">
        <v>24</v>
      </c>
      <c r="D79" t="s">
        <v>24</v>
      </c>
      <c r="E79" t="s">
        <v>24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s="7">
        <f t="shared" si="1"/>
        <v>1</v>
      </c>
      <c r="L79" t="s">
        <v>24</v>
      </c>
      <c r="M79" t="s">
        <v>24</v>
      </c>
      <c r="N79" t="s">
        <v>24</v>
      </c>
      <c r="O79" t="s">
        <v>24</v>
      </c>
      <c r="P79" t="s">
        <v>24</v>
      </c>
      <c r="Q79" t="s">
        <v>24</v>
      </c>
      <c r="R79" t="s">
        <v>24</v>
      </c>
    </row>
    <row r="80" spans="1:18" x14ac:dyDescent="0.3">
      <c r="A80" t="s">
        <v>93</v>
      </c>
      <c r="B80" t="s">
        <v>44</v>
      </c>
      <c r="C80" t="s">
        <v>44</v>
      </c>
      <c r="D80" t="s">
        <v>44</v>
      </c>
      <c r="E80" t="s">
        <v>44</v>
      </c>
      <c r="F80" t="s">
        <v>44</v>
      </c>
      <c r="G80" t="s">
        <v>44</v>
      </c>
      <c r="H80" t="s">
        <v>44</v>
      </c>
      <c r="I80" t="s">
        <v>44</v>
      </c>
      <c r="J80" t="s">
        <v>44</v>
      </c>
      <c r="K80" s="7">
        <f t="shared" si="1"/>
        <v>1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</row>
    <row r="81" spans="1:18" x14ac:dyDescent="0.3">
      <c r="A81" t="s">
        <v>94</v>
      </c>
      <c r="B81" t="s">
        <v>16</v>
      </c>
      <c r="C81" t="s">
        <v>16</v>
      </c>
      <c r="D81" t="s">
        <v>16</v>
      </c>
      <c r="E81" t="s">
        <v>16</v>
      </c>
      <c r="F81" t="s">
        <v>16</v>
      </c>
      <c r="G81" t="s">
        <v>16</v>
      </c>
      <c r="H81" t="s">
        <v>16</v>
      </c>
      <c r="I81" t="s">
        <v>16</v>
      </c>
      <c r="J81" t="s">
        <v>16</v>
      </c>
      <c r="K81" s="7">
        <f t="shared" si="1"/>
        <v>1</v>
      </c>
      <c r="L81" t="s">
        <v>16</v>
      </c>
      <c r="M81" t="s">
        <v>16</v>
      </c>
      <c r="N81" t="s">
        <v>16</v>
      </c>
      <c r="O81" t="s">
        <v>16</v>
      </c>
      <c r="P81" t="s">
        <v>16</v>
      </c>
      <c r="Q81" t="s">
        <v>16</v>
      </c>
      <c r="R81" t="s">
        <v>16</v>
      </c>
    </row>
    <row r="82" spans="1:18" x14ac:dyDescent="0.3">
      <c r="A82" t="s">
        <v>95</v>
      </c>
      <c r="B82" t="s">
        <v>30</v>
      </c>
      <c r="C82" t="s">
        <v>30</v>
      </c>
      <c r="D82" t="s">
        <v>30</v>
      </c>
      <c r="E82" t="s">
        <v>30</v>
      </c>
      <c r="F82" t="s">
        <v>30</v>
      </c>
      <c r="G82" t="s">
        <v>30</v>
      </c>
      <c r="H82" t="s">
        <v>30</v>
      </c>
      <c r="I82" t="s">
        <v>30</v>
      </c>
      <c r="J82" t="s">
        <v>30</v>
      </c>
      <c r="K82" s="7">
        <f t="shared" si="1"/>
        <v>1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30</v>
      </c>
      <c r="R82" t="s">
        <v>30</v>
      </c>
    </row>
    <row r="83" spans="1:18" x14ac:dyDescent="0.3">
      <c r="A83" t="s">
        <v>96</v>
      </c>
      <c r="B83" t="s">
        <v>30</v>
      </c>
      <c r="C83" t="s">
        <v>30</v>
      </c>
      <c r="D83" t="s">
        <v>30</v>
      </c>
      <c r="E83" t="s">
        <v>30</v>
      </c>
      <c r="F83" t="s">
        <v>30</v>
      </c>
      <c r="G83" t="s">
        <v>30</v>
      </c>
      <c r="H83" t="s">
        <v>30</v>
      </c>
      <c r="I83" t="s">
        <v>30</v>
      </c>
      <c r="J83" t="s">
        <v>30</v>
      </c>
      <c r="K83" s="7">
        <f t="shared" si="1"/>
        <v>1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30</v>
      </c>
      <c r="R83" t="s">
        <v>30</v>
      </c>
    </row>
    <row r="84" spans="1:18" x14ac:dyDescent="0.3">
      <c r="A84" t="s">
        <v>97</v>
      </c>
      <c r="B84" t="s">
        <v>30</v>
      </c>
      <c r="C84" t="s">
        <v>30</v>
      </c>
      <c r="D84" t="s">
        <v>30</v>
      </c>
      <c r="E84" t="s">
        <v>30</v>
      </c>
      <c r="F84" t="s">
        <v>30</v>
      </c>
      <c r="G84" t="s">
        <v>30</v>
      </c>
      <c r="H84" t="s">
        <v>30</v>
      </c>
      <c r="I84" t="s">
        <v>30</v>
      </c>
      <c r="J84" t="s">
        <v>30</v>
      </c>
      <c r="K84" s="7">
        <f t="shared" si="1"/>
        <v>1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30</v>
      </c>
      <c r="R84" t="s">
        <v>30</v>
      </c>
    </row>
    <row r="85" spans="1:18" x14ac:dyDescent="0.3">
      <c r="A85" t="s">
        <v>98</v>
      </c>
      <c r="B85" t="s">
        <v>44</v>
      </c>
      <c r="C85" t="s">
        <v>44</v>
      </c>
      <c r="D85" t="s">
        <v>44</v>
      </c>
      <c r="E85" t="s">
        <v>44</v>
      </c>
      <c r="F85" t="s">
        <v>44</v>
      </c>
      <c r="G85" t="s">
        <v>44</v>
      </c>
      <c r="H85" t="s">
        <v>44</v>
      </c>
      <c r="I85" t="s">
        <v>44</v>
      </c>
      <c r="J85" t="s">
        <v>44</v>
      </c>
      <c r="K85" s="7">
        <f t="shared" si="1"/>
        <v>1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</row>
    <row r="86" spans="1:18" x14ac:dyDescent="0.3">
      <c r="A86" t="s">
        <v>99</v>
      </c>
      <c r="B86" t="s">
        <v>16</v>
      </c>
      <c r="C86" t="s">
        <v>16</v>
      </c>
      <c r="D86" t="s">
        <v>16</v>
      </c>
      <c r="E86" t="s">
        <v>16</v>
      </c>
      <c r="F86" t="s">
        <v>16</v>
      </c>
      <c r="G86" t="s">
        <v>16</v>
      </c>
      <c r="H86" t="s">
        <v>16</v>
      </c>
      <c r="I86" t="s">
        <v>16</v>
      </c>
      <c r="J86" t="s">
        <v>16</v>
      </c>
      <c r="K86" s="7">
        <f t="shared" si="1"/>
        <v>1</v>
      </c>
      <c r="L86" t="s">
        <v>16</v>
      </c>
      <c r="M86" t="s">
        <v>16</v>
      </c>
      <c r="N86" t="s">
        <v>16</v>
      </c>
      <c r="O86" t="s">
        <v>16</v>
      </c>
      <c r="P86" t="s">
        <v>16</v>
      </c>
      <c r="Q86" t="s">
        <v>16</v>
      </c>
      <c r="R86" t="s">
        <v>16</v>
      </c>
    </row>
    <row r="87" spans="1:18" x14ac:dyDescent="0.3">
      <c r="A87" t="s">
        <v>100</v>
      </c>
      <c r="B87" t="s">
        <v>30</v>
      </c>
      <c r="C87" t="s">
        <v>30</v>
      </c>
      <c r="D87" t="s">
        <v>30</v>
      </c>
      <c r="E87" t="s">
        <v>30</v>
      </c>
      <c r="F87" t="s">
        <v>30</v>
      </c>
      <c r="G87" t="s">
        <v>30</v>
      </c>
      <c r="H87" t="s">
        <v>30</v>
      </c>
      <c r="I87" t="s">
        <v>30</v>
      </c>
      <c r="J87" t="s">
        <v>30</v>
      </c>
      <c r="K87" s="7">
        <f t="shared" si="1"/>
        <v>1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30</v>
      </c>
      <c r="R87" t="s">
        <v>30</v>
      </c>
    </row>
    <row r="88" spans="1:18" x14ac:dyDescent="0.3">
      <c r="A88" t="s">
        <v>101</v>
      </c>
      <c r="B88" t="s">
        <v>30</v>
      </c>
      <c r="C88" t="s">
        <v>30</v>
      </c>
      <c r="D88" t="s">
        <v>30</v>
      </c>
      <c r="E88" t="s">
        <v>30</v>
      </c>
      <c r="F88" t="s">
        <v>30</v>
      </c>
      <c r="G88" t="s">
        <v>30</v>
      </c>
      <c r="H88" t="s">
        <v>30</v>
      </c>
      <c r="I88" t="s">
        <v>30</v>
      </c>
      <c r="J88" t="s">
        <v>30</v>
      </c>
      <c r="K88" s="7">
        <f t="shared" si="1"/>
        <v>1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30</v>
      </c>
      <c r="R88" t="s">
        <v>30</v>
      </c>
    </row>
    <row r="89" spans="1:18" x14ac:dyDescent="0.3">
      <c r="A89" t="s">
        <v>102</v>
      </c>
      <c r="B89" t="s">
        <v>30</v>
      </c>
      <c r="C89" t="s">
        <v>30</v>
      </c>
      <c r="D89" t="s">
        <v>30</v>
      </c>
      <c r="E89" t="s">
        <v>30</v>
      </c>
      <c r="F89" t="s">
        <v>30</v>
      </c>
      <c r="G89" t="s">
        <v>30</v>
      </c>
      <c r="H89" t="s">
        <v>30</v>
      </c>
      <c r="I89" t="s">
        <v>30</v>
      </c>
      <c r="J89" t="s">
        <v>30</v>
      </c>
      <c r="K89" s="7">
        <f t="shared" si="1"/>
        <v>1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30</v>
      </c>
      <c r="R89" t="s">
        <v>30</v>
      </c>
    </row>
    <row r="90" spans="1:18" x14ac:dyDescent="0.3">
      <c r="A90" t="s">
        <v>103</v>
      </c>
      <c r="B90" t="s">
        <v>16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16</v>
      </c>
      <c r="I90" t="s">
        <v>16</v>
      </c>
      <c r="J90" t="s">
        <v>16</v>
      </c>
      <c r="K90" s="7">
        <f t="shared" si="1"/>
        <v>1</v>
      </c>
      <c r="L90" t="s">
        <v>16</v>
      </c>
      <c r="M90" t="s">
        <v>16</v>
      </c>
      <c r="N90" t="s">
        <v>16</v>
      </c>
      <c r="O90" t="s">
        <v>16</v>
      </c>
      <c r="P90" t="s">
        <v>16</v>
      </c>
      <c r="Q90" t="s">
        <v>16</v>
      </c>
      <c r="R90" t="s">
        <v>16</v>
      </c>
    </row>
    <row r="91" spans="1:18" x14ac:dyDescent="0.3">
      <c r="A91" t="s">
        <v>104</v>
      </c>
      <c r="B91" t="s">
        <v>44</v>
      </c>
      <c r="C91" t="s">
        <v>44</v>
      </c>
      <c r="D91" t="s">
        <v>44</v>
      </c>
      <c r="E91" t="s">
        <v>44</v>
      </c>
      <c r="F91" t="s">
        <v>44</v>
      </c>
      <c r="G91" t="s">
        <v>44</v>
      </c>
      <c r="H91" t="s">
        <v>44</v>
      </c>
      <c r="I91" t="s">
        <v>44</v>
      </c>
      <c r="J91" t="s">
        <v>44</v>
      </c>
      <c r="K91" s="7">
        <f t="shared" si="1"/>
        <v>1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</row>
    <row r="92" spans="1:18" x14ac:dyDescent="0.3">
      <c r="A92" t="s">
        <v>105</v>
      </c>
      <c r="B92" t="s">
        <v>30</v>
      </c>
      <c r="C92" t="s">
        <v>30</v>
      </c>
      <c r="D92" t="s">
        <v>30</v>
      </c>
      <c r="E92" t="s">
        <v>30</v>
      </c>
      <c r="F92" t="s">
        <v>30</v>
      </c>
      <c r="G92" t="s">
        <v>30</v>
      </c>
      <c r="H92" t="s">
        <v>30</v>
      </c>
      <c r="I92" t="s">
        <v>30</v>
      </c>
      <c r="J92" t="s">
        <v>30</v>
      </c>
      <c r="K92" s="7">
        <f t="shared" si="1"/>
        <v>1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30</v>
      </c>
      <c r="R92" t="s">
        <v>30</v>
      </c>
    </row>
    <row r="93" spans="1:18" x14ac:dyDescent="0.3">
      <c r="A93" t="s">
        <v>106</v>
      </c>
      <c r="B93" t="s">
        <v>16</v>
      </c>
      <c r="C93" t="s">
        <v>16</v>
      </c>
      <c r="D93" t="s">
        <v>16</v>
      </c>
      <c r="E93" t="s">
        <v>16</v>
      </c>
      <c r="F93" t="s">
        <v>16</v>
      </c>
      <c r="G93" t="s">
        <v>16</v>
      </c>
      <c r="H93" t="s">
        <v>16</v>
      </c>
      <c r="I93" t="s">
        <v>16</v>
      </c>
      <c r="J93" t="s">
        <v>16</v>
      </c>
      <c r="K93" s="7">
        <f t="shared" si="1"/>
        <v>1</v>
      </c>
      <c r="L93" t="s">
        <v>16</v>
      </c>
      <c r="M93" t="s">
        <v>16</v>
      </c>
      <c r="N93" t="s">
        <v>16</v>
      </c>
      <c r="O93" t="s">
        <v>16</v>
      </c>
      <c r="P93" t="s">
        <v>16</v>
      </c>
      <c r="Q93" t="s">
        <v>16</v>
      </c>
      <c r="R93" t="s">
        <v>16</v>
      </c>
    </row>
    <row r="94" spans="1:18" x14ac:dyDescent="0.3">
      <c r="A94" t="s">
        <v>107</v>
      </c>
      <c r="B94" t="s">
        <v>16</v>
      </c>
      <c r="C94" t="s">
        <v>16</v>
      </c>
      <c r="D94" t="s">
        <v>16</v>
      </c>
      <c r="E94" t="s">
        <v>16</v>
      </c>
      <c r="F94" t="s">
        <v>16</v>
      </c>
      <c r="G94" t="s">
        <v>16</v>
      </c>
      <c r="H94" t="s">
        <v>16</v>
      </c>
      <c r="I94" t="s">
        <v>16</v>
      </c>
      <c r="J94" t="s">
        <v>16</v>
      </c>
      <c r="K94" s="7">
        <f t="shared" si="1"/>
        <v>1</v>
      </c>
      <c r="L94" t="s">
        <v>16</v>
      </c>
      <c r="M94" t="s">
        <v>16</v>
      </c>
      <c r="N94" t="s">
        <v>16</v>
      </c>
      <c r="O94" t="s">
        <v>16</v>
      </c>
      <c r="P94" t="s">
        <v>16</v>
      </c>
      <c r="Q94" t="s">
        <v>16</v>
      </c>
      <c r="R94" t="s">
        <v>16</v>
      </c>
    </row>
    <row r="95" spans="1:18" x14ac:dyDescent="0.3">
      <c r="A95" t="s">
        <v>108</v>
      </c>
      <c r="B95" t="s">
        <v>44</v>
      </c>
      <c r="C95" t="s">
        <v>44</v>
      </c>
      <c r="D95" t="s">
        <v>44</v>
      </c>
      <c r="E95" t="s">
        <v>44</v>
      </c>
      <c r="F95" t="s">
        <v>44</v>
      </c>
      <c r="G95" t="s">
        <v>44</v>
      </c>
      <c r="H95" t="s">
        <v>44</v>
      </c>
      <c r="I95" t="s">
        <v>44</v>
      </c>
      <c r="J95" t="s">
        <v>44</v>
      </c>
      <c r="K95" s="7">
        <f t="shared" si="1"/>
        <v>1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</row>
    <row r="96" spans="1:18" x14ac:dyDescent="0.3">
      <c r="A96" t="s">
        <v>109</v>
      </c>
      <c r="B96" t="s">
        <v>24</v>
      </c>
      <c r="C96" t="s">
        <v>24</v>
      </c>
      <c r="D96" t="s">
        <v>24</v>
      </c>
      <c r="E96" t="s">
        <v>24</v>
      </c>
      <c r="F96" t="s">
        <v>24</v>
      </c>
      <c r="G96" t="s">
        <v>24</v>
      </c>
      <c r="H96" t="s">
        <v>24</v>
      </c>
      <c r="I96" t="s">
        <v>24</v>
      </c>
      <c r="J96" t="s">
        <v>24</v>
      </c>
      <c r="K96" s="7">
        <f t="shared" si="1"/>
        <v>1</v>
      </c>
      <c r="L96" t="s">
        <v>24</v>
      </c>
      <c r="M96" t="s">
        <v>24</v>
      </c>
      <c r="N96" t="s">
        <v>24</v>
      </c>
      <c r="O96" t="s">
        <v>24</v>
      </c>
      <c r="P96" t="s">
        <v>24</v>
      </c>
      <c r="Q96" t="s">
        <v>24</v>
      </c>
      <c r="R96" t="s">
        <v>24</v>
      </c>
    </row>
    <row r="97" spans="1:18" x14ac:dyDescent="0.3">
      <c r="A97" t="s">
        <v>110</v>
      </c>
      <c r="B97" t="s">
        <v>16</v>
      </c>
      <c r="C97" t="s">
        <v>16</v>
      </c>
      <c r="D97" t="s">
        <v>16</v>
      </c>
      <c r="E97" t="s">
        <v>16</v>
      </c>
      <c r="F97" t="s">
        <v>16</v>
      </c>
      <c r="G97" t="s">
        <v>16</v>
      </c>
      <c r="H97" t="s">
        <v>16</v>
      </c>
      <c r="I97" t="s">
        <v>16</v>
      </c>
      <c r="J97" t="s">
        <v>16</v>
      </c>
      <c r="K97" s="7">
        <f t="shared" si="1"/>
        <v>1</v>
      </c>
      <c r="L97" t="s">
        <v>16</v>
      </c>
      <c r="M97" t="s">
        <v>16</v>
      </c>
      <c r="N97" t="s">
        <v>16</v>
      </c>
      <c r="O97" t="s">
        <v>16</v>
      </c>
      <c r="P97" t="s">
        <v>16</v>
      </c>
      <c r="Q97" t="s">
        <v>16</v>
      </c>
      <c r="R97" t="s">
        <v>16</v>
      </c>
    </row>
    <row r="98" spans="1:18" x14ac:dyDescent="0.3">
      <c r="A98" t="s">
        <v>111</v>
      </c>
      <c r="B98" t="s">
        <v>16</v>
      </c>
      <c r="C98" t="s">
        <v>16</v>
      </c>
      <c r="D98" t="s">
        <v>16</v>
      </c>
      <c r="E98" t="s">
        <v>16</v>
      </c>
      <c r="F98" t="s">
        <v>16</v>
      </c>
      <c r="G98" t="s">
        <v>16</v>
      </c>
      <c r="H98" t="s">
        <v>16</v>
      </c>
      <c r="I98" t="s">
        <v>16</v>
      </c>
      <c r="J98" t="s">
        <v>16</v>
      </c>
      <c r="K98" s="7">
        <f t="shared" si="1"/>
        <v>1</v>
      </c>
      <c r="L98" t="s">
        <v>16</v>
      </c>
      <c r="M98" t="s">
        <v>16</v>
      </c>
      <c r="N98" t="s">
        <v>16</v>
      </c>
      <c r="O98" t="s">
        <v>16</v>
      </c>
      <c r="P98" t="s">
        <v>16</v>
      </c>
      <c r="Q98" t="s">
        <v>16</v>
      </c>
      <c r="R98" t="s">
        <v>16</v>
      </c>
    </row>
    <row r="99" spans="1:18" x14ac:dyDescent="0.3">
      <c r="A99" t="s">
        <v>112</v>
      </c>
      <c r="B99" t="s">
        <v>16</v>
      </c>
      <c r="C99" t="s">
        <v>16</v>
      </c>
      <c r="D99" t="s">
        <v>16</v>
      </c>
      <c r="E99" t="s">
        <v>16</v>
      </c>
      <c r="F99" t="s">
        <v>16</v>
      </c>
      <c r="G99" t="s">
        <v>16</v>
      </c>
      <c r="H99" t="s">
        <v>16</v>
      </c>
      <c r="I99" t="s">
        <v>16</v>
      </c>
      <c r="J99" t="s">
        <v>16</v>
      </c>
      <c r="K99" s="7">
        <f t="shared" si="1"/>
        <v>1</v>
      </c>
      <c r="L99" t="s">
        <v>16</v>
      </c>
      <c r="M99" t="s">
        <v>16</v>
      </c>
      <c r="N99" t="s">
        <v>16</v>
      </c>
      <c r="O99" t="s">
        <v>16</v>
      </c>
      <c r="P99" t="s">
        <v>16</v>
      </c>
      <c r="Q99" t="s">
        <v>16</v>
      </c>
      <c r="R99" t="s">
        <v>16</v>
      </c>
    </row>
    <row r="100" spans="1:18" x14ac:dyDescent="0.3">
      <c r="A100" t="s">
        <v>113</v>
      </c>
      <c r="B100" t="s">
        <v>44</v>
      </c>
      <c r="C100" t="s">
        <v>44</v>
      </c>
      <c r="D100" t="s">
        <v>44</v>
      </c>
      <c r="E100" t="s">
        <v>44</v>
      </c>
      <c r="F100" t="s">
        <v>44</v>
      </c>
      <c r="G100" t="s">
        <v>44</v>
      </c>
      <c r="H100" t="s">
        <v>44</v>
      </c>
      <c r="I100" t="s">
        <v>44</v>
      </c>
      <c r="J100" t="s">
        <v>44</v>
      </c>
      <c r="K100" s="7">
        <f t="shared" si="1"/>
        <v>1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</row>
    <row r="101" spans="1:18" x14ac:dyDescent="0.3">
      <c r="A101" t="s">
        <v>114</v>
      </c>
      <c r="B101" t="s">
        <v>16</v>
      </c>
      <c r="C101" t="s">
        <v>16</v>
      </c>
      <c r="D101" t="s">
        <v>16</v>
      </c>
      <c r="E101" t="s">
        <v>16</v>
      </c>
      <c r="F101" t="s">
        <v>16</v>
      </c>
      <c r="G101" t="s">
        <v>16</v>
      </c>
      <c r="H101" t="s">
        <v>16</v>
      </c>
      <c r="I101" t="s">
        <v>16</v>
      </c>
      <c r="J101" t="s">
        <v>16</v>
      </c>
      <c r="K101" s="7">
        <f t="shared" si="1"/>
        <v>1</v>
      </c>
      <c r="L101" t="s">
        <v>16</v>
      </c>
      <c r="M101" t="s">
        <v>16</v>
      </c>
      <c r="N101" t="s">
        <v>16</v>
      </c>
      <c r="O101" t="s">
        <v>16</v>
      </c>
      <c r="P101" t="s">
        <v>16</v>
      </c>
      <c r="Q101" t="s">
        <v>16</v>
      </c>
      <c r="R101" t="s">
        <v>16</v>
      </c>
    </row>
    <row r="102" spans="1:18" x14ac:dyDescent="0.3">
      <c r="A102" t="s">
        <v>115</v>
      </c>
      <c r="B102" t="s">
        <v>16</v>
      </c>
      <c r="C102" t="s">
        <v>16</v>
      </c>
      <c r="D102" t="s">
        <v>16</v>
      </c>
      <c r="E102" t="s">
        <v>16</v>
      </c>
      <c r="F102" t="s">
        <v>16</v>
      </c>
      <c r="G102" t="s">
        <v>16</v>
      </c>
      <c r="H102" t="s">
        <v>16</v>
      </c>
      <c r="I102" t="s">
        <v>16</v>
      </c>
      <c r="J102" t="s">
        <v>16</v>
      </c>
      <c r="K102" s="7">
        <f t="shared" si="1"/>
        <v>1</v>
      </c>
      <c r="L102" t="s">
        <v>16</v>
      </c>
      <c r="M102" t="s">
        <v>16</v>
      </c>
      <c r="N102" t="s">
        <v>16</v>
      </c>
      <c r="O102" t="s">
        <v>16</v>
      </c>
      <c r="P102" t="s">
        <v>16</v>
      </c>
      <c r="Q102" t="s">
        <v>16</v>
      </c>
      <c r="R102" t="s">
        <v>16</v>
      </c>
    </row>
    <row r="103" spans="1:18" x14ac:dyDescent="0.3">
      <c r="A103" t="s">
        <v>116</v>
      </c>
      <c r="B103" t="s">
        <v>30</v>
      </c>
      <c r="C103" t="s">
        <v>30</v>
      </c>
      <c r="D103" t="s">
        <v>30</v>
      </c>
      <c r="E103" t="s">
        <v>30</v>
      </c>
      <c r="F103" t="s">
        <v>30</v>
      </c>
      <c r="G103" t="s">
        <v>30</v>
      </c>
      <c r="H103" t="s">
        <v>30</v>
      </c>
      <c r="I103" t="s">
        <v>30</v>
      </c>
      <c r="J103" t="s">
        <v>30</v>
      </c>
      <c r="K103" s="7">
        <f t="shared" si="1"/>
        <v>1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30</v>
      </c>
      <c r="R103" t="s">
        <v>30</v>
      </c>
    </row>
    <row r="104" spans="1:18" x14ac:dyDescent="0.3">
      <c r="A104" t="s">
        <v>117</v>
      </c>
      <c r="B104" t="s">
        <v>30</v>
      </c>
      <c r="C104" t="s">
        <v>30</v>
      </c>
      <c r="D104" t="s">
        <v>30</v>
      </c>
      <c r="E104" t="s">
        <v>30</v>
      </c>
      <c r="F104" t="s">
        <v>30</v>
      </c>
      <c r="G104" t="s">
        <v>30</v>
      </c>
      <c r="H104" t="s">
        <v>30</v>
      </c>
      <c r="I104" t="s">
        <v>30</v>
      </c>
      <c r="J104" t="s">
        <v>30</v>
      </c>
      <c r="K104" s="7">
        <f t="shared" si="1"/>
        <v>1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30</v>
      </c>
      <c r="R104" t="s">
        <v>30</v>
      </c>
    </row>
    <row r="105" spans="1:18" x14ac:dyDescent="0.3">
      <c r="A105" t="s">
        <v>118</v>
      </c>
      <c r="B105" t="s">
        <v>16</v>
      </c>
      <c r="C105" t="s">
        <v>16</v>
      </c>
      <c r="D105" t="s">
        <v>16</v>
      </c>
      <c r="E105" t="s">
        <v>16</v>
      </c>
      <c r="F105" t="s">
        <v>16</v>
      </c>
      <c r="G105" t="s">
        <v>16</v>
      </c>
      <c r="H105" t="s">
        <v>16</v>
      </c>
      <c r="I105" t="s">
        <v>16</v>
      </c>
      <c r="J105" t="s">
        <v>16</v>
      </c>
      <c r="K105" s="7">
        <f t="shared" si="1"/>
        <v>1</v>
      </c>
      <c r="L105" t="s">
        <v>16</v>
      </c>
      <c r="M105" t="s">
        <v>16</v>
      </c>
      <c r="N105" t="s">
        <v>16</v>
      </c>
      <c r="O105" t="s">
        <v>16</v>
      </c>
      <c r="P105" t="s">
        <v>16</v>
      </c>
      <c r="Q105" t="s">
        <v>16</v>
      </c>
      <c r="R105" t="s">
        <v>16</v>
      </c>
    </row>
    <row r="106" spans="1:18" x14ac:dyDescent="0.3">
      <c r="A106" t="s">
        <v>119</v>
      </c>
      <c r="B106" t="s">
        <v>44</v>
      </c>
      <c r="C106" t="s">
        <v>44</v>
      </c>
      <c r="D106" t="s">
        <v>44</v>
      </c>
      <c r="E106" t="s">
        <v>44</v>
      </c>
      <c r="F106" t="s">
        <v>44</v>
      </c>
      <c r="G106" t="s">
        <v>44</v>
      </c>
      <c r="H106" t="s">
        <v>44</v>
      </c>
      <c r="I106" t="s">
        <v>44</v>
      </c>
      <c r="J106" t="s">
        <v>44</v>
      </c>
      <c r="K106" s="7">
        <f t="shared" si="1"/>
        <v>1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</row>
    <row r="107" spans="1:18" x14ac:dyDescent="0.3">
      <c r="A107" t="s">
        <v>120</v>
      </c>
      <c r="B107" t="s">
        <v>37</v>
      </c>
      <c r="C107" t="s">
        <v>37</v>
      </c>
      <c r="D107" t="s">
        <v>37</v>
      </c>
      <c r="E107" t="s">
        <v>37</v>
      </c>
      <c r="F107" t="s">
        <v>37</v>
      </c>
      <c r="G107" t="s">
        <v>37</v>
      </c>
      <c r="H107" t="s">
        <v>37</v>
      </c>
      <c r="I107" t="s">
        <v>37</v>
      </c>
      <c r="J107" t="s">
        <v>37</v>
      </c>
      <c r="K107" s="7">
        <f t="shared" si="1"/>
        <v>1</v>
      </c>
      <c r="L107" t="s">
        <v>37</v>
      </c>
      <c r="M107" t="s">
        <v>37</v>
      </c>
      <c r="N107" t="s">
        <v>37</v>
      </c>
      <c r="O107" t="s">
        <v>37</v>
      </c>
      <c r="P107" t="s">
        <v>37</v>
      </c>
      <c r="Q107" t="s">
        <v>37</v>
      </c>
      <c r="R107" t="s">
        <v>37</v>
      </c>
    </row>
    <row r="108" spans="1:18" x14ac:dyDescent="0.3">
      <c r="A108" t="s">
        <v>121</v>
      </c>
      <c r="B108" t="s">
        <v>44</v>
      </c>
      <c r="C108" t="s">
        <v>44</v>
      </c>
      <c r="D108" t="s">
        <v>44</v>
      </c>
      <c r="E108" t="s">
        <v>44</v>
      </c>
      <c r="F108" t="s">
        <v>44</v>
      </c>
      <c r="G108" t="s">
        <v>44</v>
      </c>
      <c r="H108" t="s">
        <v>44</v>
      </c>
      <c r="I108" t="s">
        <v>44</v>
      </c>
      <c r="J108" t="s">
        <v>44</v>
      </c>
      <c r="K108" s="7">
        <f t="shared" si="1"/>
        <v>1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</row>
    <row r="109" spans="1:18" x14ac:dyDescent="0.3">
      <c r="A109" t="s">
        <v>122</v>
      </c>
      <c r="B109" t="s">
        <v>16</v>
      </c>
      <c r="C109" t="s">
        <v>16</v>
      </c>
      <c r="D109" t="s">
        <v>16</v>
      </c>
      <c r="E109" t="s">
        <v>16</v>
      </c>
      <c r="F109" t="s">
        <v>16</v>
      </c>
      <c r="G109" t="s">
        <v>16</v>
      </c>
      <c r="H109" t="s">
        <v>16</v>
      </c>
      <c r="I109" t="s">
        <v>16</v>
      </c>
      <c r="J109" t="s">
        <v>16</v>
      </c>
      <c r="K109" s="7">
        <f t="shared" si="1"/>
        <v>1</v>
      </c>
      <c r="L109" t="s">
        <v>16</v>
      </c>
      <c r="M109" t="s">
        <v>16</v>
      </c>
      <c r="N109" t="s">
        <v>16</v>
      </c>
      <c r="O109" t="s">
        <v>16</v>
      </c>
      <c r="P109" t="s">
        <v>16</v>
      </c>
      <c r="Q109" t="s">
        <v>16</v>
      </c>
      <c r="R109" t="s">
        <v>16</v>
      </c>
    </row>
    <row r="110" spans="1:18" x14ac:dyDescent="0.3">
      <c r="A110" t="s">
        <v>123</v>
      </c>
      <c r="B110" t="s">
        <v>16</v>
      </c>
      <c r="C110" t="s">
        <v>16</v>
      </c>
      <c r="D110" t="s">
        <v>16</v>
      </c>
      <c r="E110" t="s">
        <v>16</v>
      </c>
      <c r="F110" t="s">
        <v>16</v>
      </c>
      <c r="G110" t="s">
        <v>16</v>
      </c>
      <c r="H110" t="s">
        <v>16</v>
      </c>
      <c r="I110" t="s">
        <v>16</v>
      </c>
      <c r="J110" t="s">
        <v>16</v>
      </c>
      <c r="K110" s="7">
        <f t="shared" si="1"/>
        <v>1</v>
      </c>
      <c r="L110" t="s">
        <v>16</v>
      </c>
      <c r="M110" t="s">
        <v>16</v>
      </c>
      <c r="N110" t="s">
        <v>16</v>
      </c>
      <c r="O110" t="s">
        <v>16</v>
      </c>
      <c r="P110" t="s">
        <v>16</v>
      </c>
      <c r="Q110" t="s">
        <v>16</v>
      </c>
      <c r="R110" t="s">
        <v>16</v>
      </c>
    </row>
    <row r="111" spans="1:18" x14ac:dyDescent="0.3">
      <c r="A111" t="s">
        <v>124</v>
      </c>
      <c r="B111" t="s">
        <v>37</v>
      </c>
      <c r="C111" t="s">
        <v>37</v>
      </c>
      <c r="D111" t="s">
        <v>37</v>
      </c>
      <c r="E111" t="s">
        <v>37</v>
      </c>
      <c r="F111" t="s">
        <v>37</v>
      </c>
      <c r="G111" t="s">
        <v>37</v>
      </c>
      <c r="H111" t="s">
        <v>37</v>
      </c>
      <c r="I111" t="s">
        <v>37</v>
      </c>
      <c r="J111" t="s">
        <v>37</v>
      </c>
      <c r="K111" s="7">
        <f t="shared" si="1"/>
        <v>1</v>
      </c>
      <c r="L111" t="s">
        <v>37</v>
      </c>
      <c r="M111" t="s">
        <v>37</v>
      </c>
      <c r="N111" t="s">
        <v>37</v>
      </c>
      <c r="O111" t="s">
        <v>37</v>
      </c>
      <c r="P111" t="s">
        <v>37</v>
      </c>
      <c r="Q111" t="s">
        <v>37</v>
      </c>
      <c r="R111" t="s">
        <v>37</v>
      </c>
    </row>
    <row r="112" spans="1:18" x14ac:dyDescent="0.3">
      <c r="A112" t="s">
        <v>125</v>
      </c>
      <c r="B112" t="s">
        <v>37</v>
      </c>
      <c r="C112" t="s">
        <v>37</v>
      </c>
      <c r="D112" t="s">
        <v>37</v>
      </c>
      <c r="E112" t="s">
        <v>37</v>
      </c>
      <c r="F112" t="s">
        <v>37</v>
      </c>
      <c r="G112" t="s">
        <v>37</v>
      </c>
      <c r="H112" t="s">
        <v>37</v>
      </c>
      <c r="I112" t="s">
        <v>37</v>
      </c>
      <c r="J112" t="s">
        <v>37</v>
      </c>
      <c r="K112" s="7">
        <f t="shared" si="1"/>
        <v>1</v>
      </c>
      <c r="L112" t="s">
        <v>37</v>
      </c>
      <c r="M112" t="s">
        <v>37</v>
      </c>
      <c r="N112" t="s">
        <v>37</v>
      </c>
      <c r="O112" t="s">
        <v>37</v>
      </c>
      <c r="P112" t="s">
        <v>37</v>
      </c>
      <c r="Q112" t="s">
        <v>37</v>
      </c>
      <c r="R112" t="s">
        <v>37</v>
      </c>
    </row>
    <row r="113" spans="1:18" x14ac:dyDescent="0.3">
      <c r="A113" t="s">
        <v>126</v>
      </c>
      <c r="B113" t="s">
        <v>44</v>
      </c>
      <c r="C113" t="s">
        <v>44</v>
      </c>
      <c r="D113" t="s">
        <v>44</v>
      </c>
      <c r="E113" t="s">
        <v>44</v>
      </c>
      <c r="F113" t="s">
        <v>44</v>
      </c>
      <c r="G113" t="s">
        <v>44</v>
      </c>
      <c r="H113" t="s">
        <v>44</v>
      </c>
      <c r="I113" t="s">
        <v>44</v>
      </c>
      <c r="J113" t="s">
        <v>44</v>
      </c>
      <c r="K113" s="7">
        <f t="shared" si="1"/>
        <v>1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</row>
    <row r="114" spans="1:18" x14ac:dyDescent="0.3">
      <c r="A114" t="s">
        <v>127</v>
      </c>
      <c r="B114" t="s">
        <v>30</v>
      </c>
      <c r="C114" t="s">
        <v>30</v>
      </c>
      <c r="D114" t="s">
        <v>30</v>
      </c>
      <c r="E114" t="s">
        <v>30</v>
      </c>
      <c r="F114" t="s">
        <v>30</v>
      </c>
      <c r="G114" t="s">
        <v>30</v>
      </c>
      <c r="H114" t="s">
        <v>30</v>
      </c>
      <c r="I114" t="s">
        <v>30</v>
      </c>
      <c r="J114" t="s">
        <v>30</v>
      </c>
      <c r="K114" s="7">
        <f t="shared" si="1"/>
        <v>1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30</v>
      </c>
      <c r="R114" t="s">
        <v>30</v>
      </c>
    </row>
    <row r="115" spans="1:18" x14ac:dyDescent="0.3">
      <c r="A115" t="s">
        <v>128</v>
      </c>
      <c r="B115" t="s">
        <v>30</v>
      </c>
      <c r="C115" t="s">
        <v>30</v>
      </c>
      <c r="D115" t="s">
        <v>30</v>
      </c>
      <c r="E115" t="s">
        <v>30</v>
      </c>
      <c r="F115" t="s">
        <v>30</v>
      </c>
      <c r="G115" t="s">
        <v>30</v>
      </c>
      <c r="H115" t="s">
        <v>30</v>
      </c>
      <c r="I115" t="s">
        <v>30</v>
      </c>
      <c r="J115" t="s">
        <v>30</v>
      </c>
      <c r="K115" s="7">
        <f t="shared" si="1"/>
        <v>1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30</v>
      </c>
      <c r="R115" t="s">
        <v>30</v>
      </c>
    </row>
    <row r="116" spans="1:18" x14ac:dyDescent="0.3">
      <c r="A116" t="s">
        <v>129</v>
      </c>
      <c r="B116" t="s">
        <v>44</v>
      </c>
      <c r="C116" t="s">
        <v>44</v>
      </c>
      <c r="D116" t="s">
        <v>44</v>
      </c>
      <c r="E116" t="s">
        <v>44</v>
      </c>
      <c r="F116" t="s">
        <v>44</v>
      </c>
      <c r="G116" t="s">
        <v>44</v>
      </c>
      <c r="H116" t="s">
        <v>44</v>
      </c>
      <c r="I116" t="s">
        <v>44</v>
      </c>
      <c r="J116" t="s">
        <v>44</v>
      </c>
      <c r="K116" s="7">
        <f t="shared" si="1"/>
        <v>1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</row>
    <row r="117" spans="1:18" x14ac:dyDescent="0.3">
      <c r="A117" t="s">
        <v>130</v>
      </c>
      <c r="B117" t="s">
        <v>30</v>
      </c>
      <c r="C117" t="s">
        <v>30</v>
      </c>
      <c r="D117" t="s">
        <v>30</v>
      </c>
      <c r="E117" t="s">
        <v>30</v>
      </c>
      <c r="F117" t="s">
        <v>30</v>
      </c>
      <c r="G117" t="s">
        <v>30</v>
      </c>
      <c r="H117" t="s">
        <v>30</v>
      </c>
      <c r="I117" t="s">
        <v>30</v>
      </c>
      <c r="J117" t="s">
        <v>30</v>
      </c>
      <c r="K117" s="7">
        <f t="shared" si="1"/>
        <v>1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30</v>
      </c>
      <c r="R117" t="s">
        <v>30</v>
      </c>
    </row>
    <row r="118" spans="1:18" x14ac:dyDescent="0.3">
      <c r="A118" t="s">
        <v>131</v>
      </c>
      <c r="B118" t="s">
        <v>37</v>
      </c>
      <c r="C118" t="s">
        <v>37</v>
      </c>
      <c r="D118" t="s">
        <v>37</v>
      </c>
      <c r="E118" t="s">
        <v>37</v>
      </c>
      <c r="F118" t="s">
        <v>37</v>
      </c>
      <c r="G118" t="s">
        <v>37</v>
      </c>
      <c r="H118" t="s">
        <v>37</v>
      </c>
      <c r="I118" t="s">
        <v>37</v>
      </c>
      <c r="J118" t="s">
        <v>37</v>
      </c>
      <c r="K118" s="7">
        <f t="shared" si="1"/>
        <v>1</v>
      </c>
      <c r="L118" t="s">
        <v>37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  <c r="R118" t="s">
        <v>37</v>
      </c>
    </row>
    <row r="119" spans="1:18" x14ac:dyDescent="0.3">
      <c r="A119" t="s">
        <v>133</v>
      </c>
      <c r="B119" t="s">
        <v>44</v>
      </c>
      <c r="C119" t="s">
        <v>44</v>
      </c>
      <c r="D119" t="s">
        <v>44</v>
      </c>
      <c r="E119" t="s">
        <v>44</v>
      </c>
      <c r="F119" t="s">
        <v>44</v>
      </c>
      <c r="G119" t="s">
        <v>44</v>
      </c>
      <c r="H119" t="s">
        <v>44</v>
      </c>
      <c r="I119" t="s">
        <v>44</v>
      </c>
      <c r="J119" t="s">
        <v>44</v>
      </c>
      <c r="K119" s="7">
        <f t="shared" si="1"/>
        <v>1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</row>
    <row r="120" spans="1:18" x14ac:dyDescent="0.3">
      <c r="A120" t="s">
        <v>134</v>
      </c>
      <c r="B120" t="s">
        <v>16</v>
      </c>
      <c r="C120" t="s">
        <v>16</v>
      </c>
      <c r="D120" t="s">
        <v>16</v>
      </c>
      <c r="E120" t="s">
        <v>16</v>
      </c>
      <c r="F120" t="s">
        <v>16</v>
      </c>
      <c r="G120" t="s">
        <v>16</v>
      </c>
      <c r="H120" t="s">
        <v>16</v>
      </c>
      <c r="I120" t="s">
        <v>16</v>
      </c>
      <c r="J120" t="s">
        <v>16</v>
      </c>
      <c r="K120" s="7">
        <f t="shared" si="1"/>
        <v>1</v>
      </c>
      <c r="L120" t="s">
        <v>16</v>
      </c>
      <c r="M120" t="s">
        <v>16</v>
      </c>
      <c r="N120" t="s">
        <v>16</v>
      </c>
      <c r="O120" t="s">
        <v>16</v>
      </c>
      <c r="P120" t="s">
        <v>16</v>
      </c>
      <c r="Q120" t="s">
        <v>16</v>
      </c>
      <c r="R120" t="s">
        <v>16</v>
      </c>
    </row>
    <row r="121" spans="1:18" x14ac:dyDescent="0.3">
      <c r="A121" t="s">
        <v>135</v>
      </c>
      <c r="B121" t="s">
        <v>30</v>
      </c>
      <c r="C121" t="s">
        <v>30</v>
      </c>
      <c r="D121" t="s">
        <v>30</v>
      </c>
      <c r="E121" t="s">
        <v>30</v>
      </c>
      <c r="F121" t="s">
        <v>30</v>
      </c>
      <c r="G121" t="s">
        <v>30</v>
      </c>
      <c r="H121" t="s">
        <v>30</v>
      </c>
      <c r="I121" t="s">
        <v>30</v>
      </c>
      <c r="J121" t="s">
        <v>30</v>
      </c>
      <c r="K121" s="7">
        <f t="shared" si="1"/>
        <v>1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30</v>
      </c>
      <c r="R121" t="s">
        <v>30</v>
      </c>
    </row>
    <row r="122" spans="1:18" x14ac:dyDescent="0.3">
      <c r="C122" cm="1">
        <f t="array" ref="C122">SUMPRODUCT(--($B2:$B121=C2:C121))</f>
        <v>120</v>
      </c>
      <c r="D122" cm="1">
        <f t="array" ref="D122">SUMPRODUCT(--($B2:$B121=D2:D121))</f>
        <v>117</v>
      </c>
      <c r="E122" cm="1">
        <f t="array" ref="E122">SUMPRODUCT(--($B2:$B121=E2:E121))</f>
        <v>119</v>
      </c>
      <c r="F122" cm="1">
        <f t="array" ref="F122">SUMPRODUCT(--($B2:$B121=F2:F121))</f>
        <v>118</v>
      </c>
      <c r="G122" cm="1">
        <f t="array" ref="G122">SUMPRODUCT(--($B2:$B121=G2:G121))</f>
        <v>117</v>
      </c>
      <c r="H122" cm="1">
        <f t="array" ref="H122">SUMPRODUCT(--($B2:$B121=H2:H121))</f>
        <v>118</v>
      </c>
      <c r="I122" cm="1">
        <f t="array" ref="I122">SUMPRODUCT(--($B2:$B121=I2:I121))</f>
        <v>118</v>
      </c>
      <c r="J122" cm="1">
        <f t="array" ref="J122">SUMPRODUCT(--($B2:$B121=J2:J121))</f>
        <v>119</v>
      </c>
    </row>
    <row r="123" spans="1:18" x14ac:dyDescent="0.3">
      <c r="C123" s="10">
        <f>C122/$C$122</f>
        <v>1</v>
      </c>
      <c r="D123" s="10">
        <f t="shared" ref="D123:J123" si="2">D122/$C$122</f>
        <v>0.97499999999999998</v>
      </c>
      <c r="E123" s="10">
        <f t="shared" si="2"/>
        <v>0.9916666666666667</v>
      </c>
      <c r="F123" s="10">
        <f t="shared" si="2"/>
        <v>0.98333333333333328</v>
      </c>
      <c r="G123" s="10">
        <f t="shared" si="2"/>
        <v>0.97499999999999998</v>
      </c>
      <c r="H123" s="10">
        <f t="shared" si="2"/>
        <v>0.98333333333333328</v>
      </c>
      <c r="I123" s="10">
        <f t="shared" si="2"/>
        <v>0.98333333333333328</v>
      </c>
      <c r="J123" s="10">
        <f t="shared" si="2"/>
        <v>0.9916666666666667</v>
      </c>
    </row>
  </sheetData>
  <sortState xmlns:xlrd2="http://schemas.microsoft.com/office/spreadsheetml/2017/richdata2" ref="A2:R122">
    <sortCondition ref="K1:K122"/>
  </sortState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87F8E-12C7-4C43-B3AB-A34EF0179A6C}">
  <dimension ref="A1:R123"/>
  <sheetViews>
    <sheetView zoomScale="70" zoomScaleNormal="70" workbookViewId="0">
      <selection activeCell="D20" sqref="D20"/>
    </sheetView>
  </sheetViews>
  <sheetFormatPr defaultColWidth="20.765625" defaultRowHeight="14.15" x14ac:dyDescent="0.3"/>
  <cols>
    <col min="11" max="11" width="20.765625" style="8"/>
  </cols>
  <sheetData>
    <row r="1" spans="1:18" x14ac:dyDescent="0.3">
      <c r="A1" s="3" t="s">
        <v>0</v>
      </c>
      <c r="B1" s="3" t="s">
        <v>145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136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</row>
    <row r="2" spans="1:18" s="5" customFormat="1" x14ac:dyDescent="0.3">
      <c r="A2" s="5" t="s">
        <v>385</v>
      </c>
      <c r="B2" s="5" t="s">
        <v>44</v>
      </c>
      <c r="C2" s="5" t="s">
        <v>44</v>
      </c>
      <c r="D2" s="5" t="s">
        <v>44</v>
      </c>
      <c r="E2" s="5" t="s">
        <v>44</v>
      </c>
      <c r="F2" s="5" t="s">
        <v>44</v>
      </c>
      <c r="G2" s="5" t="s">
        <v>44</v>
      </c>
      <c r="H2" s="5" t="s">
        <v>56</v>
      </c>
      <c r="I2" s="5" t="s">
        <v>44</v>
      </c>
      <c r="J2" s="5" t="s">
        <v>30</v>
      </c>
      <c r="K2" s="9">
        <f t="shared" ref="K2:K33" si="0">IF(AND(B2=C2,C2=D2,D2=E2,E2=F2,F2=G2,G2=H2,H2=I2,I2=J2), 1, 0)</f>
        <v>0</v>
      </c>
      <c r="L2" s="5" t="s">
        <v>44</v>
      </c>
      <c r="M2" s="5" t="s">
        <v>44</v>
      </c>
      <c r="N2" s="5" t="s">
        <v>44</v>
      </c>
      <c r="O2" s="5" t="s">
        <v>44</v>
      </c>
      <c r="P2" s="5" t="s">
        <v>56</v>
      </c>
      <c r="Q2" s="5" t="s">
        <v>44</v>
      </c>
      <c r="R2" s="5" t="s">
        <v>30</v>
      </c>
    </row>
    <row r="3" spans="1:18" s="5" customFormat="1" x14ac:dyDescent="0.3">
      <c r="A3" s="5" t="s">
        <v>386</v>
      </c>
      <c r="B3" s="5" t="s">
        <v>30</v>
      </c>
      <c r="C3" s="5" t="s">
        <v>30</v>
      </c>
      <c r="D3" s="5" t="s">
        <v>55</v>
      </c>
      <c r="E3" s="5" t="s">
        <v>30</v>
      </c>
      <c r="F3" s="5" t="s">
        <v>30</v>
      </c>
      <c r="G3" s="5" t="s">
        <v>30</v>
      </c>
      <c r="H3" s="5" t="s">
        <v>56</v>
      </c>
      <c r="I3" s="5" t="s">
        <v>30</v>
      </c>
      <c r="J3" s="5" t="s">
        <v>30</v>
      </c>
      <c r="K3" s="9">
        <f t="shared" si="0"/>
        <v>0</v>
      </c>
      <c r="L3" s="5" t="s">
        <v>55</v>
      </c>
      <c r="M3" s="5" t="s">
        <v>30</v>
      </c>
      <c r="N3" s="5" t="s">
        <v>30</v>
      </c>
      <c r="O3" s="5" t="s">
        <v>30</v>
      </c>
      <c r="P3" s="5" t="s">
        <v>56</v>
      </c>
      <c r="Q3" s="5" t="s">
        <v>30</v>
      </c>
      <c r="R3" s="5" t="s">
        <v>30</v>
      </c>
    </row>
    <row r="4" spans="1:18" s="5" customFormat="1" x14ac:dyDescent="0.3">
      <c r="A4" s="5" t="s">
        <v>256</v>
      </c>
      <c r="B4" s="5" t="s">
        <v>44</v>
      </c>
      <c r="C4" s="5" t="s">
        <v>44</v>
      </c>
      <c r="D4" s="5" t="s">
        <v>44</v>
      </c>
      <c r="E4" s="5" t="s">
        <v>44</v>
      </c>
      <c r="F4" s="5" t="s">
        <v>44</v>
      </c>
      <c r="G4" s="5" t="s">
        <v>44</v>
      </c>
      <c r="H4" s="5" t="s">
        <v>44</v>
      </c>
      <c r="I4" s="5" t="s">
        <v>56</v>
      </c>
      <c r="J4" s="5" t="s">
        <v>179</v>
      </c>
      <c r="K4" s="9">
        <f t="shared" si="0"/>
        <v>0</v>
      </c>
      <c r="L4" s="5" t="s">
        <v>44</v>
      </c>
      <c r="M4" s="5" t="s">
        <v>44</v>
      </c>
      <c r="N4" s="5" t="s">
        <v>44</v>
      </c>
      <c r="O4" s="5" t="s">
        <v>44</v>
      </c>
      <c r="P4" s="5" t="s">
        <v>44</v>
      </c>
      <c r="Q4" s="5" t="s">
        <v>56</v>
      </c>
      <c r="R4" s="5" t="s">
        <v>179</v>
      </c>
    </row>
    <row r="5" spans="1:18" s="5" customFormat="1" x14ac:dyDescent="0.3">
      <c r="A5" s="5" t="s">
        <v>387</v>
      </c>
      <c r="B5" s="5" t="s">
        <v>44</v>
      </c>
      <c r="C5" s="5" t="s">
        <v>44</v>
      </c>
      <c r="D5" s="5" t="s">
        <v>55</v>
      </c>
      <c r="E5" s="5" t="s">
        <v>44</v>
      </c>
      <c r="F5" s="5" t="s">
        <v>44</v>
      </c>
      <c r="G5" s="5" t="s">
        <v>44</v>
      </c>
      <c r="H5" s="5" t="s">
        <v>44</v>
      </c>
      <c r="I5" s="5" t="s">
        <v>44</v>
      </c>
      <c r="J5" s="5" t="s">
        <v>44</v>
      </c>
      <c r="K5" s="9">
        <f t="shared" si="0"/>
        <v>0</v>
      </c>
      <c r="L5" s="5" t="s">
        <v>55</v>
      </c>
      <c r="M5" s="5" t="s">
        <v>44</v>
      </c>
      <c r="N5" s="5" t="s">
        <v>44</v>
      </c>
      <c r="O5" s="5" t="s">
        <v>44</v>
      </c>
      <c r="P5" s="5" t="s">
        <v>44</v>
      </c>
      <c r="Q5" s="5" t="s">
        <v>44</v>
      </c>
      <c r="R5" s="5" t="s">
        <v>44</v>
      </c>
    </row>
    <row r="6" spans="1:18" s="5" customFormat="1" x14ac:dyDescent="0.3">
      <c r="A6" s="5" t="s">
        <v>255</v>
      </c>
      <c r="B6" s="5" t="s">
        <v>16</v>
      </c>
      <c r="C6" s="5" t="s">
        <v>16</v>
      </c>
      <c r="D6" s="5" t="s">
        <v>30</v>
      </c>
      <c r="E6" s="5" t="s">
        <v>16</v>
      </c>
      <c r="F6" s="5" t="s">
        <v>16</v>
      </c>
      <c r="G6" s="5" t="s">
        <v>16</v>
      </c>
      <c r="H6" s="5" t="s">
        <v>30</v>
      </c>
      <c r="I6" s="5" t="s">
        <v>30</v>
      </c>
      <c r="J6" s="5" t="s">
        <v>30</v>
      </c>
      <c r="K6" s="9">
        <f t="shared" si="0"/>
        <v>0</v>
      </c>
      <c r="L6" s="5" t="s">
        <v>30</v>
      </c>
      <c r="M6" s="5" t="s">
        <v>16</v>
      </c>
      <c r="N6" s="5" t="s">
        <v>16</v>
      </c>
      <c r="O6" s="5" t="s">
        <v>16</v>
      </c>
      <c r="P6" s="5" t="s">
        <v>30</v>
      </c>
      <c r="Q6" s="5" t="s">
        <v>30</v>
      </c>
      <c r="R6" s="5" t="s">
        <v>30</v>
      </c>
    </row>
    <row r="7" spans="1:18" s="5" customFormat="1" x14ac:dyDescent="0.3">
      <c r="A7" s="5" t="s">
        <v>254</v>
      </c>
      <c r="B7" s="5" t="s">
        <v>30</v>
      </c>
      <c r="C7" s="5" t="s">
        <v>30</v>
      </c>
      <c r="D7" s="5" t="s">
        <v>30</v>
      </c>
      <c r="E7" s="5" t="s">
        <v>30</v>
      </c>
      <c r="F7" s="5" t="s">
        <v>30</v>
      </c>
      <c r="G7" s="5" t="s">
        <v>30</v>
      </c>
      <c r="H7" s="5" t="s">
        <v>30</v>
      </c>
      <c r="I7" s="5" t="s">
        <v>56</v>
      </c>
      <c r="J7" s="5" t="s">
        <v>56</v>
      </c>
      <c r="K7" s="9">
        <f t="shared" si="0"/>
        <v>0</v>
      </c>
      <c r="L7" s="5" t="s">
        <v>30</v>
      </c>
      <c r="M7" s="5" t="s">
        <v>30</v>
      </c>
      <c r="N7" s="5" t="s">
        <v>30</v>
      </c>
      <c r="O7" s="5" t="s">
        <v>30</v>
      </c>
      <c r="P7" s="5" t="s">
        <v>30</v>
      </c>
      <c r="Q7" s="5" t="s">
        <v>56</v>
      </c>
      <c r="R7" s="5" t="s">
        <v>56</v>
      </c>
    </row>
    <row r="8" spans="1:18" s="5" customFormat="1" x14ac:dyDescent="0.3">
      <c r="A8" s="5" t="s">
        <v>253</v>
      </c>
      <c r="B8" s="5" t="s">
        <v>37</v>
      </c>
      <c r="C8" s="5" t="s">
        <v>37</v>
      </c>
      <c r="D8" s="5" t="s">
        <v>37</v>
      </c>
      <c r="E8" s="5" t="s">
        <v>37</v>
      </c>
      <c r="F8" s="5" t="s">
        <v>132</v>
      </c>
      <c r="G8" s="5" t="s">
        <v>37</v>
      </c>
      <c r="H8" s="5" t="s">
        <v>37</v>
      </c>
      <c r="I8" s="5" t="s">
        <v>37</v>
      </c>
      <c r="J8" s="5" t="s">
        <v>37</v>
      </c>
      <c r="K8" s="9">
        <f t="shared" si="0"/>
        <v>0</v>
      </c>
      <c r="L8" s="5" t="s">
        <v>37</v>
      </c>
      <c r="M8" s="5" t="s">
        <v>37</v>
      </c>
      <c r="N8" s="5" t="s">
        <v>132</v>
      </c>
      <c r="O8" s="5" t="s">
        <v>37</v>
      </c>
      <c r="P8" s="5" t="s">
        <v>37</v>
      </c>
      <c r="Q8" s="5" t="s">
        <v>37</v>
      </c>
      <c r="R8" s="5" t="s">
        <v>37</v>
      </c>
    </row>
    <row r="9" spans="1:18" s="5" customFormat="1" x14ac:dyDescent="0.3">
      <c r="A9" s="5" t="s">
        <v>252</v>
      </c>
      <c r="B9" s="5" t="s">
        <v>30</v>
      </c>
      <c r="C9" s="5" t="s">
        <v>30</v>
      </c>
      <c r="D9" s="5" t="s">
        <v>55</v>
      </c>
      <c r="E9" s="5" t="s">
        <v>30</v>
      </c>
      <c r="F9" s="5" t="s">
        <v>55</v>
      </c>
      <c r="G9" s="5" t="s">
        <v>30</v>
      </c>
      <c r="H9" s="5" t="s">
        <v>30</v>
      </c>
      <c r="I9" s="5" t="s">
        <v>251</v>
      </c>
      <c r="J9" s="5" t="s">
        <v>30</v>
      </c>
      <c r="K9" s="9">
        <f t="shared" si="0"/>
        <v>0</v>
      </c>
      <c r="L9" s="5" t="s">
        <v>55</v>
      </c>
      <c r="M9" s="5" t="s">
        <v>30</v>
      </c>
      <c r="N9" s="5" t="s">
        <v>55</v>
      </c>
      <c r="O9" s="5" t="s">
        <v>30</v>
      </c>
      <c r="P9" s="5" t="s">
        <v>30</v>
      </c>
      <c r="Q9" s="5" t="s">
        <v>251</v>
      </c>
      <c r="R9" s="5" t="s">
        <v>30</v>
      </c>
    </row>
    <row r="10" spans="1:18" s="5" customFormat="1" x14ac:dyDescent="0.3">
      <c r="A10" s="5" t="s">
        <v>250</v>
      </c>
      <c r="B10" s="5" t="s">
        <v>30</v>
      </c>
      <c r="C10" s="5" t="s">
        <v>30</v>
      </c>
      <c r="D10" s="5" t="s">
        <v>44</v>
      </c>
      <c r="E10" s="5" t="s">
        <v>30</v>
      </c>
      <c r="F10" s="5" t="s">
        <v>30</v>
      </c>
      <c r="G10" s="5" t="s">
        <v>30</v>
      </c>
      <c r="H10" s="5" t="s">
        <v>30</v>
      </c>
      <c r="I10" s="5" t="s">
        <v>30</v>
      </c>
      <c r="J10" s="5" t="s">
        <v>30</v>
      </c>
      <c r="K10" s="9">
        <f t="shared" si="0"/>
        <v>0</v>
      </c>
      <c r="L10" s="5" t="s">
        <v>44</v>
      </c>
      <c r="M10" s="5" t="s">
        <v>30</v>
      </c>
      <c r="N10" s="5" t="s">
        <v>30</v>
      </c>
      <c r="O10" s="5" t="s">
        <v>30</v>
      </c>
      <c r="P10" s="5" t="s">
        <v>30</v>
      </c>
      <c r="Q10" s="5" t="s">
        <v>30</v>
      </c>
      <c r="R10" s="5" t="s">
        <v>30</v>
      </c>
    </row>
    <row r="11" spans="1:18" s="5" customFormat="1" x14ac:dyDescent="0.3">
      <c r="A11" s="5" t="s">
        <v>249</v>
      </c>
      <c r="B11" s="5" t="s">
        <v>44</v>
      </c>
      <c r="C11" s="5" t="s">
        <v>44</v>
      </c>
      <c r="D11" s="5" t="s">
        <v>55</v>
      </c>
      <c r="E11" s="5" t="s">
        <v>44</v>
      </c>
      <c r="F11" s="5" t="s">
        <v>44</v>
      </c>
      <c r="G11" s="5" t="s">
        <v>37</v>
      </c>
      <c r="H11" s="5" t="s">
        <v>55</v>
      </c>
      <c r="I11" s="5" t="s">
        <v>30</v>
      </c>
      <c r="J11" s="5" t="s">
        <v>37</v>
      </c>
      <c r="K11" s="9">
        <f t="shared" si="0"/>
        <v>0</v>
      </c>
      <c r="L11" s="5" t="s">
        <v>55</v>
      </c>
      <c r="M11" s="5" t="s">
        <v>44</v>
      </c>
      <c r="N11" s="5" t="s">
        <v>44</v>
      </c>
      <c r="O11" s="5" t="s">
        <v>37</v>
      </c>
      <c r="P11" s="5" t="s">
        <v>55</v>
      </c>
      <c r="Q11" s="5" t="s">
        <v>30</v>
      </c>
      <c r="R11" s="5" t="s">
        <v>37</v>
      </c>
    </row>
    <row r="12" spans="1:18" s="5" customFormat="1" x14ac:dyDescent="0.3">
      <c r="A12" s="5" t="s">
        <v>388</v>
      </c>
      <c r="B12" s="5" t="s">
        <v>30</v>
      </c>
      <c r="C12" s="5" t="s">
        <v>30</v>
      </c>
      <c r="D12" s="5" t="s">
        <v>55</v>
      </c>
      <c r="E12" s="5" t="s">
        <v>30</v>
      </c>
      <c r="F12" s="5" t="s">
        <v>30</v>
      </c>
      <c r="G12" s="5" t="s">
        <v>30</v>
      </c>
      <c r="H12" s="5" t="s">
        <v>30</v>
      </c>
      <c r="I12" s="5" t="s">
        <v>30</v>
      </c>
      <c r="J12" s="5" t="s">
        <v>30</v>
      </c>
      <c r="K12" s="9">
        <f t="shared" si="0"/>
        <v>0</v>
      </c>
      <c r="L12" s="5" t="s">
        <v>55</v>
      </c>
      <c r="M12" s="5" t="s">
        <v>30</v>
      </c>
      <c r="N12" s="5" t="s">
        <v>30</v>
      </c>
      <c r="O12" s="5" t="s">
        <v>30</v>
      </c>
      <c r="P12" s="5" t="s">
        <v>30</v>
      </c>
      <c r="Q12" s="5" t="s">
        <v>30</v>
      </c>
      <c r="R12" s="5" t="s">
        <v>30</v>
      </c>
    </row>
    <row r="13" spans="1:18" s="5" customFormat="1" x14ac:dyDescent="0.3">
      <c r="A13" s="5" t="s">
        <v>248</v>
      </c>
      <c r="B13" s="5" t="s">
        <v>44</v>
      </c>
      <c r="C13" s="5" t="s">
        <v>44</v>
      </c>
      <c r="D13" s="5" t="s">
        <v>30</v>
      </c>
      <c r="E13" s="5" t="s">
        <v>44</v>
      </c>
      <c r="F13" s="5" t="s">
        <v>30</v>
      </c>
      <c r="G13" s="5" t="s">
        <v>30</v>
      </c>
      <c r="H13" s="5" t="s">
        <v>30</v>
      </c>
      <c r="I13" s="5" t="s">
        <v>44</v>
      </c>
      <c r="J13" s="5" t="s">
        <v>30</v>
      </c>
      <c r="K13" s="9">
        <f t="shared" si="0"/>
        <v>0</v>
      </c>
      <c r="L13" s="5" t="s">
        <v>30</v>
      </c>
      <c r="M13" s="5" t="s">
        <v>44</v>
      </c>
      <c r="N13" s="5" t="s">
        <v>30</v>
      </c>
      <c r="O13" s="5" t="s">
        <v>30</v>
      </c>
      <c r="P13" s="5" t="s">
        <v>30</v>
      </c>
      <c r="Q13" s="5" t="s">
        <v>44</v>
      </c>
      <c r="R13" s="5" t="s">
        <v>30</v>
      </c>
    </row>
    <row r="14" spans="1:18" s="5" customFormat="1" x14ac:dyDescent="0.3">
      <c r="A14" s="5" t="s">
        <v>247</v>
      </c>
      <c r="B14" s="5" t="s">
        <v>37</v>
      </c>
      <c r="C14" s="5" t="s">
        <v>37</v>
      </c>
      <c r="D14" s="5" t="s">
        <v>37</v>
      </c>
      <c r="E14" s="5" t="s">
        <v>37</v>
      </c>
      <c r="F14" s="5" t="s">
        <v>132</v>
      </c>
      <c r="G14" s="5" t="s">
        <v>37</v>
      </c>
      <c r="H14" s="5" t="s">
        <v>37</v>
      </c>
      <c r="I14" s="5" t="s">
        <v>37</v>
      </c>
      <c r="J14" s="5" t="s">
        <v>37</v>
      </c>
      <c r="K14" s="9">
        <f t="shared" si="0"/>
        <v>0</v>
      </c>
      <c r="L14" s="5" t="s">
        <v>37</v>
      </c>
      <c r="M14" s="5" t="s">
        <v>37</v>
      </c>
      <c r="N14" s="5" t="s">
        <v>132</v>
      </c>
      <c r="O14" s="5" t="s">
        <v>37</v>
      </c>
      <c r="P14" s="5" t="s">
        <v>37</v>
      </c>
      <c r="Q14" s="5" t="s">
        <v>37</v>
      </c>
      <c r="R14" s="5" t="s">
        <v>37</v>
      </c>
    </row>
    <row r="15" spans="1:18" s="5" customFormat="1" x14ac:dyDescent="0.3">
      <c r="A15" s="5" t="s">
        <v>246</v>
      </c>
      <c r="B15" s="5" t="s">
        <v>30</v>
      </c>
      <c r="C15" s="5" t="s">
        <v>30</v>
      </c>
      <c r="D15" s="5" t="s">
        <v>55</v>
      </c>
      <c r="E15" s="5" t="s">
        <v>30</v>
      </c>
      <c r="F15" s="5" t="s">
        <v>30</v>
      </c>
      <c r="G15" s="5" t="s">
        <v>30</v>
      </c>
      <c r="H15" s="5" t="s">
        <v>30</v>
      </c>
      <c r="I15" s="5" t="s">
        <v>30</v>
      </c>
      <c r="J15" s="5" t="s">
        <v>30</v>
      </c>
      <c r="K15" s="9">
        <f t="shared" si="0"/>
        <v>0</v>
      </c>
      <c r="L15" s="5" t="s">
        <v>55</v>
      </c>
      <c r="M15" s="5" t="s">
        <v>30</v>
      </c>
      <c r="N15" s="5" t="s">
        <v>30</v>
      </c>
      <c r="O15" s="5" t="s">
        <v>30</v>
      </c>
      <c r="P15" s="5" t="s">
        <v>30</v>
      </c>
      <c r="Q15" s="5" t="s">
        <v>30</v>
      </c>
      <c r="R15" s="5" t="s">
        <v>30</v>
      </c>
    </row>
    <row r="16" spans="1:18" s="5" customFormat="1" x14ac:dyDescent="0.3">
      <c r="A16" s="5" t="s">
        <v>389</v>
      </c>
      <c r="B16" s="5" t="s">
        <v>44</v>
      </c>
      <c r="C16" s="5" t="s">
        <v>44</v>
      </c>
      <c r="D16" s="5" t="s">
        <v>30</v>
      </c>
      <c r="E16" s="5" t="s">
        <v>44</v>
      </c>
      <c r="F16" s="5" t="s">
        <v>30</v>
      </c>
      <c r="G16" s="5" t="s">
        <v>37</v>
      </c>
      <c r="H16" s="5" t="s">
        <v>44</v>
      </c>
      <c r="I16" s="5" t="s">
        <v>37</v>
      </c>
      <c r="J16" s="5" t="s">
        <v>30</v>
      </c>
      <c r="K16" s="9">
        <f t="shared" si="0"/>
        <v>0</v>
      </c>
      <c r="L16" s="5" t="s">
        <v>30</v>
      </c>
      <c r="M16" s="5" t="s">
        <v>44</v>
      </c>
      <c r="N16" s="5" t="s">
        <v>30</v>
      </c>
      <c r="O16" s="5" t="s">
        <v>37</v>
      </c>
      <c r="P16" s="5" t="s">
        <v>44</v>
      </c>
      <c r="Q16" s="5" t="s">
        <v>37</v>
      </c>
      <c r="R16" s="5" t="s">
        <v>30</v>
      </c>
    </row>
    <row r="17" spans="1:18" s="5" customFormat="1" x14ac:dyDescent="0.3">
      <c r="A17" s="5" t="s">
        <v>390</v>
      </c>
      <c r="B17" s="5" t="s">
        <v>44</v>
      </c>
      <c r="C17" s="5" t="s">
        <v>44</v>
      </c>
      <c r="D17" s="5" t="s">
        <v>55</v>
      </c>
      <c r="E17" s="5" t="s">
        <v>55</v>
      </c>
      <c r="F17" s="5" t="s">
        <v>30</v>
      </c>
      <c r="G17" s="5" t="s">
        <v>55</v>
      </c>
      <c r="H17" s="5" t="s">
        <v>56</v>
      </c>
      <c r="I17" s="5" t="s">
        <v>56</v>
      </c>
      <c r="J17" s="5" t="s">
        <v>55</v>
      </c>
      <c r="K17" s="9">
        <f t="shared" si="0"/>
        <v>0</v>
      </c>
      <c r="L17" s="5" t="s">
        <v>55</v>
      </c>
      <c r="M17" s="5" t="s">
        <v>55</v>
      </c>
      <c r="N17" s="5" t="s">
        <v>30</v>
      </c>
      <c r="O17" s="5" t="s">
        <v>55</v>
      </c>
      <c r="P17" s="5" t="s">
        <v>56</v>
      </c>
      <c r="Q17" s="5" t="s">
        <v>56</v>
      </c>
      <c r="R17" s="5" t="s">
        <v>55</v>
      </c>
    </row>
    <row r="18" spans="1:18" s="5" customFormat="1" x14ac:dyDescent="0.3">
      <c r="A18" s="5" t="s">
        <v>245</v>
      </c>
      <c r="B18" s="5" t="s">
        <v>44</v>
      </c>
      <c r="C18" s="5" t="s">
        <v>44</v>
      </c>
      <c r="D18" s="5" t="s">
        <v>55</v>
      </c>
      <c r="E18" s="5" t="s">
        <v>44</v>
      </c>
      <c r="F18" s="5" t="s">
        <v>44</v>
      </c>
      <c r="G18" s="5" t="s">
        <v>179</v>
      </c>
      <c r="H18" s="5" t="s">
        <v>56</v>
      </c>
      <c r="I18" s="5" t="s">
        <v>56</v>
      </c>
      <c r="J18" s="5" t="s">
        <v>179</v>
      </c>
      <c r="K18" s="9">
        <f t="shared" si="0"/>
        <v>0</v>
      </c>
      <c r="L18" s="5" t="s">
        <v>55</v>
      </c>
      <c r="M18" s="5" t="s">
        <v>44</v>
      </c>
      <c r="N18" s="5" t="s">
        <v>44</v>
      </c>
      <c r="O18" s="5" t="s">
        <v>179</v>
      </c>
      <c r="P18" s="5" t="s">
        <v>56</v>
      </c>
      <c r="Q18" s="5" t="s">
        <v>56</v>
      </c>
      <c r="R18" s="5" t="s">
        <v>179</v>
      </c>
    </row>
    <row r="19" spans="1:18" s="5" customFormat="1" x14ac:dyDescent="0.3">
      <c r="A19" s="5" t="s">
        <v>244</v>
      </c>
      <c r="B19" s="5" t="s">
        <v>16</v>
      </c>
      <c r="C19" s="5" t="s">
        <v>16</v>
      </c>
      <c r="D19" s="5" t="s">
        <v>16</v>
      </c>
      <c r="E19" s="5" t="s">
        <v>16</v>
      </c>
      <c r="F19" s="5" t="s">
        <v>16</v>
      </c>
      <c r="G19" s="5" t="s">
        <v>16</v>
      </c>
      <c r="H19" s="5" t="s">
        <v>16</v>
      </c>
      <c r="I19" s="5" t="s">
        <v>16</v>
      </c>
      <c r="J19" s="5" t="s">
        <v>30</v>
      </c>
      <c r="K19" s="9">
        <f t="shared" si="0"/>
        <v>0</v>
      </c>
      <c r="L19" s="5" t="s">
        <v>16</v>
      </c>
      <c r="M19" s="5" t="s">
        <v>16</v>
      </c>
      <c r="N19" s="5" t="s">
        <v>16</v>
      </c>
      <c r="O19" s="5" t="s">
        <v>16</v>
      </c>
      <c r="P19" s="5" t="s">
        <v>16</v>
      </c>
      <c r="Q19" s="5" t="s">
        <v>16</v>
      </c>
      <c r="R19" s="5" t="s">
        <v>30</v>
      </c>
    </row>
    <row r="20" spans="1:18" s="5" customFormat="1" x14ac:dyDescent="0.3">
      <c r="A20" s="5" t="s">
        <v>243</v>
      </c>
      <c r="B20" s="5" t="s">
        <v>44</v>
      </c>
      <c r="C20" s="5" t="s">
        <v>44</v>
      </c>
      <c r="D20" s="5" t="s">
        <v>30</v>
      </c>
      <c r="E20" s="5" t="s">
        <v>44</v>
      </c>
      <c r="F20" s="5" t="s">
        <v>44</v>
      </c>
      <c r="G20" s="5" t="s">
        <v>44</v>
      </c>
      <c r="H20" s="5" t="s">
        <v>30</v>
      </c>
      <c r="I20" s="5" t="s">
        <v>44</v>
      </c>
      <c r="J20" s="5" t="s">
        <v>30</v>
      </c>
      <c r="K20" s="9">
        <f t="shared" si="0"/>
        <v>0</v>
      </c>
      <c r="L20" s="5" t="s">
        <v>30</v>
      </c>
      <c r="M20" s="5" t="s">
        <v>44</v>
      </c>
      <c r="N20" s="5" t="s">
        <v>44</v>
      </c>
      <c r="O20" s="5" t="s">
        <v>44</v>
      </c>
      <c r="P20" s="5" t="s">
        <v>30</v>
      </c>
      <c r="Q20" s="5" t="s">
        <v>44</v>
      </c>
      <c r="R20" s="5" t="s">
        <v>30</v>
      </c>
    </row>
    <row r="21" spans="1:18" s="5" customFormat="1" x14ac:dyDescent="0.3">
      <c r="A21" s="5" t="s">
        <v>242</v>
      </c>
      <c r="B21" s="5" t="s">
        <v>44</v>
      </c>
      <c r="C21" s="5" t="s">
        <v>44</v>
      </c>
      <c r="D21" s="5" t="s">
        <v>30</v>
      </c>
      <c r="E21" s="5" t="s">
        <v>44</v>
      </c>
      <c r="F21" s="5" t="s">
        <v>44</v>
      </c>
      <c r="G21" s="5" t="s">
        <v>30</v>
      </c>
      <c r="H21" s="5" t="s">
        <v>56</v>
      </c>
      <c r="I21" s="5" t="s">
        <v>30</v>
      </c>
      <c r="J21" s="5" t="s">
        <v>30</v>
      </c>
      <c r="K21" s="9">
        <f t="shared" si="0"/>
        <v>0</v>
      </c>
      <c r="L21" s="5" t="s">
        <v>30</v>
      </c>
      <c r="M21" s="5" t="s">
        <v>44</v>
      </c>
      <c r="N21" s="5" t="s">
        <v>44</v>
      </c>
      <c r="O21" s="5" t="s">
        <v>30</v>
      </c>
      <c r="P21" s="5" t="s">
        <v>56</v>
      </c>
      <c r="Q21" s="5" t="s">
        <v>30</v>
      </c>
      <c r="R21" s="5" t="s">
        <v>30</v>
      </c>
    </row>
    <row r="22" spans="1:18" s="5" customFormat="1" x14ac:dyDescent="0.3">
      <c r="A22" s="5" t="s">
        <v>241</v>
      </c>
      <c r="B22" s="5" t="s">
        <v>30</v>
      </c>
      <c r="C22" s="5" t="s">
        <v>30</v>
      </c>
      <c r="D22" s="5" t="s">
        <v>44</v>
      </c>
      <c r="E22" s="5" t="s">
        <v>30</v>
      </c>
      <c r="F22" s="5" t="s">
        <v>30</v>
      </c>
      <c r="G22" s="5" t="s">
        <v>30</v>
      </c>
      <c r="H22" s="5" t="s">
        <v>44</v>
      </c>
      <c r="I22" s="5" t="s">
        <v>30</v>
      </c>
      <c r="J22" s="5" t="s">
        <v>44</v>
      </c>
      <c r="K22" s="9">
        <f t="shared" si="0"/>
        <v>0</v>
      </c>
      <c r="L22" s="5" t="s">
        <v>44</v>
      </c>
      <c r="M22" s="5" t="s">
        <v>30</v>
      </c>
      <c r="N22" s="5" t="s">
        <v>30</v>
      </c>
      <c r="O22" s="5" t="s">
        <v>30</v>
      </c>
      <c r="P22" s="5" t="s">
        <v>44</v>
      </c>
      <c r="Q22" s="5" t="s">
        <v>30</v>
      </c>
      <c r="R22" s="5" t="s">
        <v>44</v>
      </c>
    </row>
    <row r="23" spans="1:18" s="5" customFormat="1" x14ac:dyDescent="0.3">
      <c r="A23" s="5" t="s">
        <v>240</v>
      </c>
      <c r="B23" s="5" t="s">
        <v>37</v>
      </c>
      <c r="C23" s="5" t="s">
        <v>37</v>
      </c>
      <c r="D23" s="5" t="s">
        <v>132</v>
      </c>
      <c r="E23" s="5" t="s">
        <v>37</v>
      </c>
      <c r="F23" s="5" t="s">
        <v>37</v>
      </c>
      <c r="G23" s="5" t="s">
        <v>37</v>
      </c>
      <c r="H23" s="5" t="s">
        <v>55</v>
      </c>
      <c r="I23" s="5" t="s">
        <v>37</v>
      </c>
      <c r="J23" s="5" t="s">
        <v>37</v>
      </c>
      <c r="K23" s="9">
        <f t="shared" si="0"/>
        <v>0</v>
      </c>
      <c r="L23" s="5" t="s">
        <v>132</v>
      </c>
      <c r="M23" s="5" t="s">
        <v>37</v>
      </c>
      <c r="N23" s="5" t="s">
        <v>37</v>
      </c>
      <c r="O23" s="5" t="s">
        <v>37</v>
      </c>
      <c r="P23" s="5" t="s">
        <v>55</v>
      </c>
      <c r="Q23" s="5" t="s">
        <v>37</v>
      </c>
      <c r="R23" s="5" t="s">
        <v>37</v>
      </c>
    </row>
    <row r="24" spans="1:18" s="5" customFormat="1" x14ac:dyDescent="0.3">
      <c r="A24" s="5" t="s">
        <v>239</v>
      </c>
      <c r="B24" s="5" t="s">
        <v>44</v>
      </c>
      <c r="C24" s="5" t="s">
        <v>44</v>
      </c>
      <c r="D24" s="5" t="s">
        <v>55</v>
      </c>
      <c r="E24" s="5" t="s">
        <v>44</v>
      </c>
      <c r="F24" s="5" t="s">
        <v>44</v>
      </c>
      <c r="G24" s="5" t="s">
        <v>44</v>
      </c>
      <c r="H24" s="5" t="s">
        <v>179</v>
      </c>
      <c r="I24" s="5" t="s">
        <v>30</v>
      </c>
      <c r="J24" s="5" t="s">
        <v>55</v>
      </c>
      <c r="K24" s="9">
        <f t="shared" si="0"/>
        <v>0</v>
      </c>
      <c r="L24" s="5" t="s">
        <v>55</v>
      </c>
      <c r="M24" s="5" t="s">
        <v>44</v>
      </c>
      <c r="N24" s="5" t="s">
        <v>44</v>
      </c>
      <c r="O24" s="5" t="s">
        <v>44</v>
      </c>
      <c r="P24" s="5" t="s">
        <v>179</v>
      </c>
      <c r="Q24" s="5" t="s">
        <v>30</v>
      </c>
      <c r="R24" s="5" t="s">
        <v>55</v>
      </c>
    </row>
    <row r="25" spans="1:18" s="5" customFormat="1" x14ac:dyDescent="0.3">
      <c r="A25" s="5" t="s">
        <v>238</v>
      </c>
      <c r="B25" s="5" t="s">
        <v>16</v>
      </c>
      <c r="C25" s="5" t="s">
        <v>16</v>
      </c>
      <c r="D25" s="5" t="s">
        <v>55</v>
      </c>
      <c r="E25" s="5" t="s">
        <v>16</v>
      </c>
      <c r="F25" s="5" t="s">
        <v>30</v>
      </c>
      <c r="G25" s="5" t="s">
        <v>55</v>
      </c>
      <c r="H25" s="5" t="s">
        <v>56</v>
      </c>
      <c r="I25" s="5" t="s">
        <v>16</v>
      </c>
      <c r="J25" s="5" t="s">
        <v>16</v>
      </c>
      <c r="K25" s="9">
        <f t="shared" si="0"/>
        <v>0</v>
      </c>
      <c r="L25" s="5" t="s">
        <v>55</v>
      </c>
      <c r="M25" s="5" t="s">
        <v>16</v>
      </c>
      <c r="N25" s="5" t="s">
        <v>30</v>
      </c>
      <c r="O25" s="5" t="s">
        <v>55</v>
      </c>
      <c r="P25" s="5" t="s">
        <v>56</v>
      </c>
      <c r="Q25" s="5" t="s">
        <v>16</v>
      </c>
      <c r="R25" s="5" t="s">
        <v>16</v>
      </c>
    </row>
    <row r="26" spans="1:18" s="5" customFormat="1" x14ac:dyDescent="0.3">
      <c r="A26" s="5" t="s">
        <v>391</v>
      </c>
      <c r="B26" s="5" t="s">
        <v>30</v>
      </c>
      <c r="C26" s="5" t="s">
        <v>30</v>
      </c>
      <c r="D26" s="5" t="s">
        <v>30</v>
      </c>
      <c r="E26" s="5" t="s">
        <v>30</v>
      </c>
      <c r="F26" s="5" t="s">
        <v>30</v>
      </c>
      <c r="G26" s="5" t="s">
        <v>30</v>
      </c>
      <c r="H26" s="5" t="s">
        <v>30</v>
      </c>
      <c r="I26" s="5" t="s">
        <v>30</v>
      </c>
      <c r="J26" s="5" t="s">
        <v>16</v>
      </c>
      <c r="K26" s="9">
        <f t="shared" si="0"/>
        <v>0</v>
      </c>
      <c r="L26" s="5" t="s">
        <v>30</v>
      </c>
      <c r="M26" s="5" t="s">
        <v>30</v>
      </c>
      <c r="N26" s="5" t="s">
        <v>30</v>
      </c>
      <c r="O26" s="5" t="s">
        <v>30</v>
      </c>
      <c r="P26" s="5" t="s">
        <v>30</v>
      </c>
      <c r="Q26" s="5" t="s">
        <v>30</v>
      </c>
      <c r="R26" s="5" t="s">
        <v>16</v>
      </c>
    </row>
    <row r="27" spans="1:18" s="5" customFormat="1" x14ac:dyDescent="0.3">
      <c r="A27" s="5" t="s">
        <v>237</v>
      </c>
      <c r="B27" s="5" t="s">
        <v>44</v>
      </c>
      <c r="C27" s="5" t="s">
        <v>44</v>
      </c>
      <c r="D27" s="5" t="s">
        <v>44</v>
      </c>
      <c r="E27" s="5" t="s">
        <v>44</v>
      </c>
      <c r="F27" s="5" t="s">
        <v>44</v>
      </c>
      <c r="G27" s="5" t="s">
        <v>44</v>
      </c>
      <c r="H27" s="5" t="s">
        <v>30</v>
      </c>
      <c r="I27" s="5" t="s">
        <v>30</v>
      </c>
      <c r="J27" s="5" t="s">
        <v>30</v>
      </c>
      <c r="K27" s="9">
        <f t="shared" si="0"/>
        <v>0</v>
      </c>
      <c r="L27" s="5" t="s">
        <v>44</v>
      </c>
      <c r="M27" s="5" t="s">
        <v>44</v>
      </c>
      <c r="N27" s="5" t="s">
        <v>44</v>
      </c>
      <c r="O27" s="5" t="s">
        <v>44</v>
      </c>
      <c r="P27" s="5" t="s">
        <v>30</v>
      </c>
      <c r="Q27" s="5" t="s">
        <v>30</v>
      </c>
      <c r="R27" s="5" t="s">
        <v>30</v>
      </c>
    </row>
    <row r="28" spans="1:18" s="5" customFormat="1" x14ac:dyDescent="0.3">
      <c r="A28" s="5" t="s">
        <v>236</v>
      </c>
      <c r="B28" s="5" t="s">
        <v>44</v>
      </c>
      <c r="C28" s="5" t="s">
        <v>44</v>
      </c>
      <c r="D28" s="5" t="s">
        <v>55</v>
      </c>
      <c r="E28" s="5" t="s">
        <v>55</v>
      </c>
      <c r="F28" s="5" t="s">
        <v>55</v>
      </c>
      <c r="G28" s="5" t="s">
        <v>55</v>
      </c>
      <c r="H28" s="5" t="s">
        <v>55</v>
      </c>
      <c r="I28" s="5" t="s">
        <v>30</v>
      </c>
      <c r="J28" s="5" t="s">
        <v>30</v>
      </c>
      <c r="K28" s="9">
        <f t="shared" si="0"/>
        <v>0</v>
      </c>
      <c r="L28" s="5" t="s">
        <v>55</v>
      </c>
      <c r="M28" s="5" t="s">
        <v>55</v>
      </c>
      <c r="N28" s="5" t="s">
        <v>55</v>
      </c>
      <c r="O28" s="5" t="s">
        <v>55</v>
      </c>
      <c r="P28" s="5" t="s">
        <v>55</v>
      </c>
      <c r="Q28" s="5" t="s">
        <v>30</v>
      </c>
      <c r="R28" s="5" t="s">
        <v>30</v>
      </c>
    </row>
    <row r="29" spans="1:18" s="5" customFormat="1" x14ac:dyDescent="0.3">
      <c r="A29" s="5" t="s">
        <v>235</v>
      </c>
      <c r="B29" s="5" t="s">
        <v>44</v>
      </c>
      <c r="C29" s="5" t="s">
        <v>44</v>
      </c>
      <c r="D29" s="5" t="s">
        <v>55</v>
      </c>
      <c r="E29" s="5" t="s">
        <v>44</v>
      </c>
      <c r="F29" s="5" t="s">
        <v>44</v>
      </c>
      <c r="G29" s="5" t="s">
        <v>44</v>
      </c>
      <c r="H29" s="5" t="s">
        <v>44</v>
      </c>
      <c r="I29" s="5" t="s">
        <v>44</v>
      </c>
      <c r="J29" s="5" t="s">
        <v>44</v>
      </c>
      <c r="K29" s="9">
        <f t="shared" si="0"/>
        <v>0</v>
      </c>
      <c r="L29" s="5" t="s">
        <v>55</v>
      </c>
      <c r="M29" s="5" t="s">
        <v>44</v>
      </c>
      <c r="N29" s="5" t="s">
        <v>44</v>
      </c>
      <c r="O29" s="5" t="s">
        <v>44</v>
      </c>
      <c r="P29" s="5" t="s">
        <v>44</v>
      </c>
      <c r="Q29" s="5" t="s">
        <v>44</v>
      </c>
      <c r="R29" s="5" t="s">
        <v>44</v>
      </c>
    </row>
    <row r="30" spans="1:18" s="5" customFormat="1" x14ac:dyDescent="0.3">
      <c r="A30" s="5" t="s">
        <v>392</v>
      </c>
      <c r="B30" s="5" t="s">
        <v>30</v>
      </c>
      <c r="C30" s="5" t="s">
        <v>30</v>
      </c>
      <c r="D30" s="5" t="s">
        <v>30</v>
      </c>
      <c r="E30" s="5" t="s">
        <v>30</v>
      </c>
      <c r="F30" s="5" t="s">
        <v>30</v>
      </c>
      <c r="G30" s="5" t="s">
        <v>44</v>
      </c>
      <c r="H30" s="5" t="s">
        <v>44</v>
      </c>
      <c r="I30" s="5" t="s">
        <v>30</v>
      </c>
      <c r="J30" s="5" t="s">
        <v>30</v>
      </c>
      <c r="K30" s="9">
        <f t="shared" si="0"/>
        <v>0</v>
      </c>
      <c r="L30" s="5" t="s">
        <v>30</v>
      </c>
      <c r="M30" s="5" t="s">
        <v>30</v>
      </c>
      <c r="N30" s="5" t="s">
        <v>30</v>
      </c>
      <c r="O30" s="5" t="s">
        <v>44</v>
      </c>
      <c r="P30" s="5" t="s">
        <v>44</v>
      </c>
      <c r="Q30" s="5" t="s">
        <v>30</v>
      </c>
      <c r="R30" s="5" t="s">
        <v>30</v>
      </c>
    </row>
    <row r="31" spans="1:18" s="5" customFormat="1" x14ac:dyDescent="0.3">
      <c r="A31" s="5" t="s">
        <v>234</v>
      </c>
      <c r="B31" s="5" t="s">
        <v>44</v>
      </c>
      <c r="C31" s="5" t="s">
        <v>44</v>
      </c>
      <c r="D31" s="5" t="s">
        <v>55</v>
      </c>
      <c r="E31" s="5" t="s">
        <v>44</v>
      </c>
      <c r="F31" s="5" t="s">
        <v>44</v>
      </c>
      <c r="G31" s="5" t="s">
        <v>44</v>
      </c>
      <c r="H31" s="5" t="s">
        <v>30</v>
      </c>
      <c r="I31" s="5" t="s">
        <v>30</v>
      </c>
      <c r="J31" s="5" t="s">
        <v>30</v>
      </c>
      <c r="K31" s="9">
        <f t="shared" si="0"/>
        <v>0</v>
      </c>
      <c r="L31" s="5" t="s">
        <v>55</v>
      </c>
      <c r="M31" s="5" t="s">
        <v>44</v>
      </c>
      <c r="N31" s="5" t="s">
        <v>44</v>
      </c>
      <c r="O31" s="5" t="s">
        <v>44</v>
      </c>
      <c r="P31" s="5" t="s">
        <v>30</v>
      </c>
      <c r="Q31" s="5" t="s">
        <v>30</v>
      </c>
      <c r="R31" s="5" t="s">
        <v>30</v>
      </c>
    </row>
    <row r="32" spans="1:18" s="5" customFormat="1" x14ac:dyDescent="0.3">
      <c r="A32" s="5" t="s">
        <v>233</v>
      </c>
      <c r="B32" s="5" t="s">
        <v>30</v>
      </c>
      <c r="C32" s="5" t="s">
        <v>30</v>
      </c>
      <c r="D32" s="5" t="s">
        <v>55</v>
      </c>
      <c r="E32" s="5" t="s">
        <v>30</v>
      </c>
      <c r="F32" s="5" t="s">
        <v>30</v>
      </c>
      <c r="G32" s="5" t="s">
        <v>30</v>
      </c>
      <c r="H32" s="5" t="s">
        <v>30</v>
      </c>
      <c r="I32" s="5" t="s">
        <v>30</v>
      </c>
      <c r="J32" s="5" t="s">
        <v>30</v>
      </c>
      <c r="K32" s="9">
        <f t="shared" si="0"/>
        <v>0</v>
      </c>
      <c r="L32" s="5" t="s">
        <v>55</v>
      </c>
      <c r="M32" s="5" t="s">
        <v>30</v>
      </c>
      <c r="N32" s="5" t="s">
        <v>30</v>
      </c>
      <c r="O32" s="5" t="s">
        <v>30</v>
      </c>
      <c r="P32" s="5" t="s">
        <v>30</v>
      </c>
      <c r="Q32" s="5" t="s">
        <v>30</v>
      </c>
      <c r="R32" s="5" t="s">
        <v>30</v>
      </c>
    </row>
    <row r="33" spans="1:18" s="5" customFormat="1" x14ac:dyDescent="0.3">
      <c r="A33" s="5" t="s">
        <v>232</v>
      </c>
      <c r="B33" s="5" t="s">
        <v>44</v>
      </c>
      <c r="C33" s="5" t="s">
        <v>44</v>
      </c>
      <c r="D33" s="5" t="s">
        <v>55</v>
      </c>
      <c r="E33" s="5" t="s">
        <v>179</v>
      </c>
      <c r="F33" s="5" t="s">
        <v>44</v>
      </c>
      <c r="G33" s="5" t="s">
        <v>55</v>
      </c>
      <c r="H33" s="5" t="s">
        <v>55</v>
      </c>
      <c r="I33" s="5" t="s">
        <v>55</v>
      </c>
      <c r="J33" s="5" t="s">
        <v>44</v>
      </c>
      <c r="K33" s="9">
        <f t="shared" si="0"/>
        <v>0</v>
      </c>
      <c r="L33" s="5" t="s">
        <v>55</v>
      </c>
      <c r="M33" s="5" t="s">
        <v>179</v>
      </c>
      <c r="N33" s="5" t="s">
        <v>44</v>
      </c>
      <c r="O33" s="5" t="s">
        <v>55</v>
      </c>
      <c r="P33" s="5" t="s">
        <v>55</v>
      </c>
      <c r="Q33" s="5" t="s">
        <v>55</v>
      </c>
      <c r="R33" s="5" t="s">
        <v>44</v>
      </c>
    </row>
    <row r="34" spans="1:18" s="5" customFormat="1" x14ac:dyDescent="0.3">
      <c r="A34" s="5" t="s">
        <v>393</v>
      </c>
      <c r="B34" s="5" t="s">
        <v>16</v>
      </c>
      <c r="C34" s="5" t="s">
        <v>16</v>
      </c>
      <c r="D34" s="5" t="s">
        <v>55</v>
      </c>
      <c r="E34" s="5" t="s">
        <v>16</v>
      </c>
      <c r="F34" s="5" t="s">
        <v>55</v>
      </c>
      <c r="G34" s="5" t="s">
        <v>55</v>
      </c>
      <c r="H34" s="5" t="s">
        <v>56</v>
      </c>
      <c r="I34" s="5" t="s">
        <v>56</v>
      </c>
      <c r="J34" s="5" t="s">
        <v>56</v>
      </c>
      <c r="K34" s="9">
        <f t="shared" ref="K34:K65" si="1">IF(AND(B34=C34,C34=D34,D34=E34,E34=F34,F34=G34,G34=H34,H34=I34,I34=J34), 1, 0)</f>
        <v>0</v>
      </c>
      <c r="L34" s="5" t="s">
        <v>55</v>
      </c>
      <c r="M34" s="5" t="s">
        <v>16</v>
      </c>
      <c r="N34" s="5" t="s">
        <v>55</v>
      </c>
      <c r="O34" s="5" t="s">
        <v>55</v>
      </c>
      <c r="P34" s="5" t="s">
        <v>56</v>
      </c>
      <c r="Q34" s="5" t="s">
        <v>56</v>
      </c>
      <c r="R34" s="5" t="s">
        <v>56</v>
      </c>
    </row>
    <row r="35" spans="1:18" s="5" customFormat="1" x14ac:dyDescent="0.3">
      <c r="A35" s="5" t="s">
        <v>231</v>
      </c>
      <c r="B35" s="5" t="s">
        <v>30</v>
      </c>
      <c r="C35" s="5" t="s">
        <v>30</v>
      </c>
      <c r="D35" s="5" t="s">
        <v>16</v>
      </c>
      <c r="E35" s="5" t="s">
        <v>30</v>
      </c>
      <c r="F35" s="5" t="s">
        <v>30</v>
      </c>
      <c r="G35" s="5" t="s">
        <v>30</v>
      </c>
      <c r="H35" s="5" t="s">
        <v>56</v>
      </c>
      <c r="I35" s="5" t="s">
        <v>30</v>
      </c>
      <c r="J35" s="5" t="s">
        <v>30</v>
      </c>
      <c r="K35" s="9">
        <f t="shared" si="1"/>
        <v>0</v>
      </c>
      <c r="L35" s="5" t="s">
        <v>16</v>
      </c>
      <c r="M35" s="5" t="s">
        <v>30</v>
      </c>
      <c r="N35" s="5" t="s">
        <v>30</v>
      </c>
      <c r="O35" s="5" t="s">
        <v>30</v>
      </c>
      <c r="P35" s="5" t="s">
        <v>56</v>
      </c>
      <c r="Q35" s="5" t="s">
        <v>30</v>
      </c>
      <c r="R35" s="5" t="s">
        <v>30</v>
      </c>
    </row>
    <row r="36" spans="1:18" s="5" customFormat="1" x14ac:dyDescent="0.3">
      <c r="A36" s="5" t="s">
        <v>230</v>
      </c>
      <c r="B36" s="5" t="s">
        <v>30</v>
      </c>
      <c r="C36" s="5" t="s">
        <v>30</v>
      </c>
      <c r="D36" s="5" t="s">
        <v>30</v>
      </c>
      <c r="E36" s="5" t="s">
        <v>30</v>
      </c>
      <c r="F36" s="5" t="s">
        <v>30</v>
      </c>
      <c r="G36" s="5" t="s">
        <v>30</v>
      </c>
      <c r="H36" s="5" t="s">
        <v>30</v>
      </c>
      <c r="I36" s="5" t="s">
        <v>30</v>
      </c>
      <c r="J36" s="5" t="s">
        <v>179</v>
      </c>
      <c r="K36" s="9">
        <f t="shared" si="1"/>
        <v>0</v>
      </c>
      <c r="L36" s="5" t="s">
        <v>30</v>
      </c>
      <c r="M36" s="5" t="s">
        <v>30</v>
      </c>
      <c r="N36" s="5" t="s">
        <v>30</v>
      </c>
      <c r="O36" s="5" t="s">
        <v>30</v>
      </c>
      <c r="P36" s="5" t="s">
        <v>30</v>
      </c>
      <c r="Q36" s="5" t="s">
        <v>30</v>
      </c>
      <c r="R36" s="5" t="s">
        <v>179</v>
      </c>
    </row>
    <row r="37" spans="1:18" s="5" customFormat="1" x14ac:dyDescent="0.3">
      <c r="A37" s="5" t="s">
        <v>394</v>
      </c>
      <c r="B37" s="5" t="s">
        <v>16</v>
      </c>
      <c r="C37" s="5" t="s">
        <v>16</v>
      </c>
      <c r="D37" s="5" t="s">
        <v>30</v>
      </c>
      <c r="E37" s="5" t="s">
        <v>16</v>
      </c>
      <c r="F37" s="5" t="s">
        <v>16</v>
      </c>
      <c r="G37" s="5" t="s">
        <v>16</v>
      </c>
      <c r="H37" s="5" t="s">
        <v>30</v>
      </c>
      <c r="I37" s="5" t="s">
        <v>16</v>
      </c>
      <c r="J37" s="5" t="s">
        <v>30</v>
      </c>
      <c r="K37" s="9">
        <f t="shared" si="1"/>
        <v>0</v>
      </c>
      <c r="L37" s="5" t="s">
        <v>30</v>
      </c>
      <c r="M37" s="5" t="s">
        <v>16</v>
      </c>
      <c r="N37" s="5" t="s">
        <v>16</v>
      </c>
      <c r="O37" s="5" t="s">
        <v>16</v>
      </c>
      <c r="P37" s="5" t="s">
        <v>30</v>
      </c>
      <c r="Q37" s="5" t="s">
        <v>16</v>
      </c>
      <c r="R37" s="5" t="s">
        <v>30</v>
      </c>
    </row>
    <row r="38" spans="1:18" s="5" customFormat="1" x14ac:dyDescent="0.3">
      <c r="A38" s="5" t="s">
        <v>229</v>
      </c>
      <c r="B38" s="5" t="s">
        <v>44</v>
      </c>
      <c r="C38" s="5" t="s">
        <v>44</v>
      </c>
      <c r="D38" s="5" t="s">
        <v>30</v>
      </c>
      <c r="E38" s="5" t="s">
        <v>30</v>
      </c>
      <c r="F38" s="5" t="s">
        <v>30</v>
      </c>
      <c r="G38" s="5" t="s">
        <v>30</v>
      </c>
      <c r="H38" s="5" t="s">
        <v>44</v>
      </c>
      <c r="I38" s="5" t="s">
        <v>30</v>
      </c>
      <c r="J38" s="5" t="s">
        <v>30</v>
      </c>
      <c r="K38" s="9">
        <f t="shared" si="1"/>
        <v>0</v>
      </c>
      <c r="L38" s="5" t="s">
        <v>30</v>
      </c>
      <c r="M38" s="5" t="s">
        <v>30</v>
      </c>
      <c r="N38" s="5" t="s">
        <v>30</v>
      </c>
      <c r="O38" s="5" t="s">
        <v>30</v>
      </c>
      <c r="P38" s="5" t="s">
        <v>44</v>
      </c>
      <c r="Q38" s="5" t="s">
        <v>30</v>
      </c>
      <c r="R38" s="5" t="s">
        <v>30</v>
      </c>
    </row>
    <row r="39" spans="1:18" s="5" customFormat="1" x14ac:dyDescent="0.3">
      <c r="A39" s="5" t="s">
        <v>228</v>
      </c>
      <c r="B39" s="5" t="s">
        <v>30</v>
      </c>
      <c r="C39" s="5" t="s">
        <v>30</v>
      </c>
      <c r="D39" s="5" t="s">
        <v>55</v>
      </c>
      <c r="E39" s="5" t="s">
        <v>30</v>
      </c>
      <c r="F39" s="5" t="s">
        <v>30</v>
      </c>
      <c r="G39" s="5" t="s">
        <v>30</v>
      </c>
      <c r="H39" s="5" t="s">
        <v>30</v>
      </c>
      <c r="I39" s="5" t="s">
        <v>30</v>
      </c>
      <c r="J39" s="5" t="s">
        <v>30</v>
      </c>
      <c r="K39" s="9">
        <f t="shared" si="1"/>
        <v>0</v>
      </c>
      <c r="L39" s="5" t="s">
        <v>55</v>
      </c>
      <c r="M39" s="5" t="s">
        <v>30</v>
      </c>
      <c r="N39" s="5" t="s">
        <v>30</v>
      </c>
      <c r="O39" s="5" t="s">
        <v>30</v>
      </c>
      <c r="P39" s="5" t="s">
        <v>30</v>
      </c>
      <c r="Q39" s="5" t="s">
        <v>30</v>
      </c>
      <c r="R39" s="5" t="s">
        <v>30</v>
      </c>
    </row>
    <row r="40" spans="1:18" s="5" customFormat="1" x14ac:dyDescent="0.3">
      <c r="A40" s="5" t="s">
        <v>395</v>
      </c>
      <c r="B40" s="5" t="s">
        <v>37</v>
      </c>
      <c r="C40" s="5" t="s">
        <v>37</v>
      </c>
      <c r="D40" s="5" t="s">
        <v>55</v>
      </c>
      <c r="E40" s="5" t="s">
        <v>37</v>
      </c>
      <c r="F40" s="5" t="s">
        <v>56</v>
      </c>
      <c r="G40" s="5" t="s">
        <v>55</v>
      </c>
      <c r="H40" s="5" t="s">
        <v>56</v>
      </c>
      <c r="I40" s="5" t="s">
        <v>56</v>
      </c>
      <c r="J40" s="5" t="s">
        <v>30</v>
      </c>
      <c r="K40" s="9">
        <f t="shared" si="1"/>
        <v>0</v>
      </c>
      <c r="L40" s="5" t="s">
        <v>55</v>
      </c>
      <c r="M40" s="5" t="s">
        <v>37</v>
      </c>
      <c r="N40" s="5" t="s">
        <v>56</v>
      </c>
      <c r="O40" s="5" t="s">
        <v>55</v>
      </c>
      <c r="P40" s="5" t="s">
        <v>56</v>
      </c>
      <c r="Q40" s="5" t="s">
        <v>56</v>
      </c>
      <c r="R40" s="5" t="s">
        <v>30</v>
      </c>
    </row>
    <row r="41" spans="1:18" s="5" customFormat="1" x14ac:dyDescent="0.3">
      <c r="A41" s="5" t="s">
        <v>227</v>
      </c>
      <c r="B41" s="5" t="s">
        <v>30</v>
      </c>
      <c r="C41" s="5" t="s">
        <v>30</v>
      </c>
      <c r="D41" s="5" t="s">
        <v>56</v>
      </c>
      <c r="E41" s="5" t="s">
        <v>30</v>
      </c>
      <c r="F41" s="5" t="s">
        <v>30</v>
      </c>
      <c r="G41" s="5" t="s">
        <v>30</v>
      </c>
      <c r="H41" s="5" t="s">
        <v>44</v>
      </c>
      <c r="I41" s="5" t="s">
        <v>37</v>
      </c>
      <c r="J41" s="5" t="s">
        <v>30</v>
      </c>
      <c r="K41" s="9">
        <f t="shared" si="1"/>
        <v>0</v>
      </c>
      <c r="L41" s="5" t="s">
        <v>56</v>
      </c>
      <c r="M41" s="5" t="s">
        <v>30</v>
      </c>
      <c r="N41" s="5" t="s">
        <v>30</v>
      </c>
      <c r="O41" s="5" t="s">
        <v>30</v>
      </c>
      <c r="P41" s="5" t="s">
        <v>44</v>
      </c>
      <c r="Q41" s="5" t="s">
        <v>37</v>
      </c>
      <c r="R41" s="5" t="s">
        <v>30</v>
      </c>
    </row>
    <row r="42" spans="1:18" s="5" customFormat="1" x14ac:dyDescent="0.3">
      <c r="A42" s="5" t="s">
        <v>226</v>
      </c>
      <c r="B42" s="5" t="s">
        <v>44</v>
      </c>
      <c r="C42" s="5" t="s">
        <v>44</v>
      </c>
      <c r="D42" s="5" t="s">
        <v>56</v>
      </c>
      <c r="E42" s="5" t="s">
        <v>44</v>
      </c>
      <c r="F42" s="5" t="s">
        <v>44</v>
      </c>
      <c r="G42" s="5" t="s">
        <v>55</v>
      </c>
      <c r="H42" s="5" t="s">
        <v>44</v>
      </c>
      <c r="I42" s="5" t="s">
        <v>56</v>
      </c>
      <c r="J42" s="5" t="s">
        <v>16</v>
      </c>
      <c r="K42" s="9">
        <f t="shared" si="1"/>
        <v>0</v>
      </c>
      <c r="L42" s="5" t="s">
        <v>56</v>
      </c>
      <c r="M42" s="5" t="s">
        <v>44</v>
      </c>
      <c r="N42" s="5" t="s">
        <v>44</v>
      </c>
      <c r="O42" s="5" t="s">
        <v>55</v>
      </c>
      <c r="P42" s="5" t="s">
        <v>44</v>
      </c>
      <c r="Q42" s="5" t="s">
        <v>56</v>
      </c>
      <c r="R42" s="5" t="s">
        <v>16</v>
      </c>
    </row>
    <row r="43" spans="1:18" s="5" customFormat="1" x14ac:dyDescent="0.3">
      <c r="A43" s="5" t="s">
        <v>225</v>
      </c>
      <c r="B43" s="5" t="s">
        <v>37</v>
      </c>
      <c r="C43" s="5" t="s">
        <v>37</v>
      </c>
      <c r="D43" s="5" t="s">
        <v>132</v>
      </c>
      <c r="E43" s="5" t="s">
        <v>37</v>
      </c>
      <c r="F43" s="5" t="s">
        <v>37</v>
      </c>
      <c r="G43" s="5" t="s">
        <v>37</v>
      </c>
      <c r="H43" s="5" t="s">
        <v>37</v>
      </c>
      <c r="I43" s="5" t="s">
        <v>132</v>
      </c>
      <c r="J43" s="5" t="s">
        <v>37</v>
      </c>
      <c r="K43" s="9">
        <f t="shared" si="1"/>
        <v>0</v>
      </c>
      <c r="L43" s="5" t="s">
        <v>132</v>
      </c>
      <c r="M43" s="5" t="s">
        <v>37</v>
      </c>
      <c r="N43" s="5" t="s">
        <v>37</v>
      </c>
      <c r="O43" s="5" t="s">
        <v>37</v>
      </c>
      <c r="P43" s="5" t="s">
        <v>37</v>
      </c>
      <c r="Q43" s="5" t="s">
        <v>132</v>
      </c>
      <c r="R43" s="5" t="s">
        <v>37</v>
      </c>
    </row>
    <row r="44" spans="1:18" s="5" customFormat="1" x14ac:dyDescent="0.3">
      <c r="A44" s="5" t="s">
        <v>224</v>
      </c>
      <c r="B44" s="5" t="s">
        <v>44</v>
      </c>
      <c r="C44" s="5" t="s">
        <v>44</v>
      </c>
      <c r="D44" s="5" t="s">
        <v>44</v>
      </c>
      <c r="E44" s="5" t="s">
        <v>44</v>
      </c>
      <c r="F44" s="5" t="s">
        <v>30</v>
      </c>
      <c r="G44" s="5" t="s">
        <v>44</v>
      </c>
      <c r="H44" s="5" t="s">
        <v>44</v>
      </c>
      <c r="I44" s="5" t="s">
        <v>44</v>
      </c>
      <c r="J44" s="5" t="s">
        <v>179</v>
      </c>
      <c r="K44" s="9">
        <f t="shared" si="1"/>
        <v>0</v>
      </c>
      <c r="L44" s="5" t="s">
        <v>44</v>
      </c>
      <c r="M44" s="5" t="s">
        <v>44</v>
      </c>
      <c r="N44" s="5" t="s">
        <v>30</v>
      </c>
      <c r="O44" s="5" t="s">
        <v>44</v>
      </c>
      <c r="P44" s="5" t="s">
        <v>44</v>
      </c>
      <c r="Q44" s="5" t="s">
        <v>44</v>
      </c>
      <c r="R44" s="5" t="s">
        <v>179</v>
      </c>
    </row>
    <row r="45" spans="1:18" s="5" customFormat="1" x14ac:dyDescent="0.3">
      <c r="A45" s="5" t="s">
        <v>223</v>
      </c>
      <c r="B45" s="5" t="s">
        <v>16</v>
      </c>
      <c r="C45" s="5" t="s">
        <v>16</v>
      </c>
      <c r="D45" s="5" t="s">
        <v>55</v>
      </c>
      <c r="E45" s="5" t="s">
        <v>16</v>
      </c>
      <c r="F45" s="5" t="s">
        <v>16</v>
      </c>
      <c r="G45" s="5" t="s">
        <v>16</v>
      </c>
      <c r="H45" s="5" t="s">
        <v>56</v>
      </c>
      <c r="I45" s="5" t="s">
        <v>16</v>
      </c>
      <c r="J45" s="5" t="s">
        <v>55</v>
      </c>
      <c r="K45" s="9">
        <f t="shared" si="1"/>
        <v>0</v>
      </c>
      <c r="L45" s="5" t="s">
        <v>55</v>
      </c>
      <c r="M45" s="5" t="s">
        <v>16</v>
      </c>
      <c r="N45" s="5" t="s">
        <v>16</v>
      </c>
      <c r="O45" s="5" t="s">
        <v>16</v>
      </c>
      <c r="P45" s="5" t="s">
        <v>56</v>
      </c>
      <c r="Q45" s="5" t="s">
        <v>16</v>
      </c>
      <c r="R45" s="5" t="s">
        <v>55</v>
      </c>
    </row>
    <row r="46" spans="1:18" s="5" customFormat="1" x14ac:dyDescent="0.3">
      <c r="A46" s="5" t="s">
        <v>396</v>
      </c>
      <c r="B46" s="5" t="s">
        <v>44</v>
      </c>
      <c r="C46" s="5" t="s">
        <v>44</v>
      </c>
      <c r="D46" s="5" t="s">
        <v>55</v>
      </c>
      <c r="E46" s="5" t="s">
        <v>44</v>
      </c>
      <c r="F46" s="5" t="s">
        <v>44</v>
      </c>
      <c r="G46" s="5" t="s">
        <v>179</v>
      </c>
      <c r="H46" s="5" t="s">
        <v>30</v>
      </c>
      <c r="I46" s="5" t="s">
        <v>56</v>
      </c>
      <c r="J46" s="5" t="s">
        <v>179</v>
      </c>
      <c r="K46" s="9">
        <f t="shared" si="1"/>
        <v>0</v>
      </c>
      <c r="L46" s="5" t="s">
        <v>55</v>
      </c>
      <c r="M46" s="5" t="s">
        <v>44</v>
      </c>
      <c r="N46" s="5" t="s">
        <v>44</v>
      </c>
      <c r="O46" s="5" t="s">
        <v>179</v>
      </c>
      <c r="P46" s="5" t="s">
        <v>30</v>
      </c>
      <c r="Q46" s="5" t="s">
        <v>56</v>
      </c>
      <c r="R46" s="5" t="s">
        <v>179</v>
      </c>
    </row>
    <row r="47" spans="1:18" s="5" customFormat="1" x14ac:dyDescent="0.3">
      <c r="A47" s="5" t="s">
        <v>222</v>
      </c>
      <c r="B47" s="5" t="s">
        <v>30</v>
      </c>
      <c r="C47" s="5" t="s">
        <v>30</v>
      </c>
      <c r="D47" s="5" t="s">
        <v>30</v>
      </c>
      <c r="E47" s="5" t="s">
        <v>30</v>
      </c>
      <c r="F47" s="5" t="s">
        <v>30</v>
      </c>
      <c r="G47" s="5" t="s">
        <v>55</v>
      </c>
      <c r="H47" s="5" t="s">
        <v>30</v>
      </c>
      <c r="I47" s="5" t="s">
        <v>37</v>
      </c>
      <c r="J47" s="5" t="s">
        <v>179</v>
      </c>
      <c r="K47" s="9">
        <f t="shared" si="1"/>
        <v>0</v>
      </c>
      <c r="L47" s="5" t="s">
        <v>30</v>
      </c>
      <c r="M47" s="5" t="s">
        <v>30</v>
      </c>
      <c r="N47" s="5" t="s">
        <v>30</v>
      </c>
      <c r="O47" s="5" t="s">
        <v>55</v>
      </c>
      <c r="P47" s="5" t="s">
        <v>30</v>
      </c>
      <c r="Q47" s="5" t="s">
        <v>37</v>
      </c>
      <c r="R47" s="5" t="s">
        <v>179</v>
      </c>
    </row>
    <row r="48" spans="1:18" s="5" customFormat="1" x14ac:dyDescent="0.3">
      <c r="A48" s="5" t="s">
        <v>221</v>
      </c>
      <c r="B48" s="5" t="s">
        <v>16</v>
      </c>
      <c r="C48" s="5" t="s">
        <v>16</v>
      </c>
      <c r="D48" s="5" t="s">
        <v>16</v>
      </c>
      <c r="E48" s="5" t="s">
        <v>16</v>
      </c>
      <c r="F48" s="5" t="s">
        <v>16</v>
      </c>
      <c r="G48" s="5" t="s">
        <v>16</v>
      </c>
      <c r="H48" s="5" t="s">
        <v>16</v>
      </c>
      <c r="I48" s="5" t="s">
        <v>56</v>
      </c>
      <c r="J48" s="5" t="s">
        <v>16</v>
      </c>
      <c r="K48" s="9">
        <f t="shared" si="1"/>
        <v>0</v>
      </c>
      <c r="L48" s="5" t="s">
        <v>16</v>
      </c>
      <c r="M48" s="5" t="s">
        <v>16</v>
      </c>
      <c r="N48" s="5" t="s">
        <v>16</v>
      </c>
      <c r="O48" s="5" t="s">
        <v>16</v>
      </c>
      <c r="P48" s="5" t="s">
        <v>16</v>
      </c>
      <c r="Q48" s="5" t="s">
        <v>56</v>
      </c>
      <c r="R48" s="5" t="s">
        <v>16</v>
      </c>
    </row>
    <row r="49" spans="1:18" s="5" customFormat="1" x14ac:dyDescent="0.3">
      <c r="A49" s="5" t="s">
        <v>220</v>
      </c>
      <c r="B49" s="5" t="s">
        <v>30</v>
      </c>
      <c r="C49" s="5" t="s">
        <v>30</v>
      </c>
      <c r="D49" s="5" t="s">
        <v>55</v>
      </c>
      <c r="E49" s="5" t="s">
        <v>37</v>
      </c>
      <c r="F49" s="5" t="s">
        <v>55</v>
      </c>
      <c r="G49" s="5" t="s">
        <v>16</v>
      </c>
      <c r="H49" s="5" t="s">
        <v>30</v>
      </c>
      <c r="I49" s="5" t="s">
        <v>30</v>
      </c>
      <c r="J49" s="5" t="s">
        <v>16</v>
      </c>
      <c r="K49" s="9">
        <f t="shared" si="1"/>
        <v>0</v>
      </c>
      <c r="L49" s="5" t="s">
        <v>55</v>
      </c>
      <c r="M49" s="5" t="s">
        <v>37</v>
      </c>
      <c r="N49" s="5" t="s">
        <v>55</v>
      </c>
      <c r="O49" s="5" t="s">
        <v>16</v>
      </c>
      <c r="P49" s="5" t="s">
        <v>30</v>
      </c>
      <c r="Q49" s="5" t="s">
        <v>30</v>
      </c>
      <c r="R49" s="5" t="s">
        <v>16</v>
      </c>
    </row>
    <row r="50" spans="1:18" s="5" customFormat="1" x14ac:dyDescent="0.3">
      <c r="A50" s="5" t="s">
        <v>219</v>
      </c>
      <c r="B50" s="5" t="s">
        <v>30</v>
      </c>
      <c r="C50" s="5" t="s">
        <v>30</v>
      </c>
      <c r="D50" s="5" t="s">
        <v>30</v>
      </c>
      <c r="E50" s="5" t="s">
        <v>30</v>
      </c>
      <c r="F50" s="5" t="s">
        <v>30</v>
      </c>
      <c r="G50" s="5" t="s">
        <v>30</v>
      </c>
      <c r="H50" s="5" t="s">
        <v>56</v>
      </c>
      <c r="I50" s="5" t="s">
        <v>30</v>
      </c>
      <c r="J50" s="5" t="s">
        <v>16</v>
      </c>
      <c r="K50" s="9">
        <f t="shared" si="1"/>
        <v>0</v>
      </c>
      <c r="L50" s="5" t="s">
        <v>30</v>
      </c>
      <c r="M50" s="5" t="s">
        <v>30</v>
      </c>
      <c r="N50" s="5" t="s">
        <v>30</v>
      </c>
      <c r="O50" s="5" t="s">
        <v>30</v>
      </c>
      <c r="P50" s="5" t="s">
        <v>56</v>
      </c>
      <c r="Q50" s="5" t="s">
        <v>30</v>
      </c>
      <c r="R50" s="5" t="s">
        <v>16</v>
      </c>
    </row>
    <row r="51" spans="1:18" s="5" customFormat="1" x14ac:dyDescent="0.3">
      <c r="A51" s="5" t="s">
        <v>218</v>
      </c>
      <c r="B51" s="5" t="s">
        <v>16</v>
      </c>
      <c r="C51" s="5" t="s">
        <v>16</v>
      </c>
      <c r="D51" s="5" t="s">
        <v>30</v>
      </c>
      <c r="E51" s="5" t="s">
        <v>16</v>
      </c>
      <c r="F51" s="5" t="s">
        <v>16</v>
      </c>
      <c r="G51" s="5" t="s">
        <v>30</v>
      </c>
      <c r="H51" s="5" t="s">
        <v>30</v>
      </c>
      <c r="I51" s="5" t="s">
        <v>30</v>
      </c>
      <c r="J51" s="5" t="s">
        <v>30</v>
      </c>
      <c r="K51" s="9">
        <f t="shared" si="1"/>
        <v>0</v>
      </c>
      <c r="L51" s="5" t="s">
        <v>30</v>
      </c>
      <c r="M51" s="5" t="s">
        <v>16</v>
      </c>
      <c r="N51" s="5" t="s">
        <v>16</v>
      </c>
      <c r="O51" s="5" t="s">
        <v>30</v>
      </c>
      <c r="P51" s="5" t="s">
        <v>30</v>
      </c>
      <c r="Q51" s="5" t="s">
        <v>30</v>
      </c>
      <c r="R51" s="5" t="s">
        <v>30</v>
      </c>
    </row>
    <row r="52" spans="1:18" s="5" customFormat="1" x14ac:dyDescent="0.3">
      <c r="A52" s="5" t="s">
        <v>217</v>
      </c>
      <c r="B52" s="5" t="s">
        <v>179</v>
      </c>
      <c r="C52" s="5" t="s">
        <v>179</v>
      </c>
      <c r="D52" s="5" t="s">
        <v>55</v>
      </c>
      <c r="E52" s="5" t="s">
        <v>179</v>
      </c>
      <c r="F52" s="5" t="s">
        <v>179</v>
      </c>
      <c r="G52" s="5" t="s">
        <v>179</v>
      </c>
      <c r="H52" s="5" t="s">
        <v>55</v>
      </c>
      <c r="I52" s="5" t="s">
        <v>55</v>
      </c>
      <c r="J52" s="5" t="s">
        <v>179</v>
      </c>
      <c r="K52" s="9">
        <f t="shared" si="1"/>
        <v>0</v>
      </c>
      <c r="L52" s="5" t="s">
        <v>55</v>
      </c>
      <c r="M52" s="5" t="s">
        <v>179</v>
      </c>
      <c r="N52" s="5" t="s">
        <v>179</v>
      </c>
      <c r="O52" s="5" t="s">
        <v>179</v>
      </c>
      <c r="P52" s="5" t="s">
        <v>55</v>
      </c>
      <c r="Q52" s="5" t="s">
        <v>55</v>
      </c>
      <c r="R52" s="5" t="s">
        <v>179</v>
      </c>
    </row>
    <row r="53" spans="1:18" s="5" customFormat="1" x14ac:dyDescent="0.3">
      <c r="A53" s="5" t="s">
        <v>216</v>
      </c>
      <c r="B53" s="5" t="s">
        <v>44</v>
      </c>
      <c r="C53" s="5" t="s">
        <v>44</v>
      </c>
      <c r="D53" s="5" t="s">
        <v>55</v>
      </c>
      <c r="E53" s="5" t="s">
        <v>44</v>
      </c>
      <c r="F53" s="5" t="s">
        <v>44</v>
      </c>
      <c r="G53" s="5" t="s">
        <v>30</v>
      </c>
      <c r="H53" s="5" t="s">
        <v>44</v>
      </c>
      <c r="I53" s="5" t="s">
        <v>30</v>
      </c>
      <c r="J53" s="5" t="s">
        <v>179</v>
      </c>
      <c r="K53" s="9">
        <f t="shared" si="1"/>
        <v>0</v>
      </c>
      <c r="L53" s="5" t="s">
        <v>55</v>
      </c>
      <c r="M53" s="5" t="s">
        <v>44</v>
      </c>
      <c r="N53" s="5" t="s">
        <v>44</v>
      </c>
      <c r="O53" s="5" t="s">
        <v>30</v>
      </c>
      <c r="P53" s="5" t="s">
        <v>44</v>
      </c>
      <c r="Q53" s="5" t="s">
        <v>30</v>
      </c>
      <c r="R53" s="5" t="s">
        <v>179</v>
      </c>
    </row>
    <row r="54" spans="1:18" s="5" customFormat="1" x14ac:dyDescent="0.3">
      <c r="A54" s="5" t="s">
        <v>215</v>
      </c>
      <c r="B54" s="5" t="s">
        <v>30</v>
      </c>
      <c r="C54" s="5" t="s">
        <v>30</v>
      </c>
      <c r="D54" s="5" t="s">
        <v>16</v>
      </c>
      <c r="E54" s="5" t="s">
        <v>30</v>
      </c>
      <c r="F54" s="5" t="s">
        <v>55</v>
      </c>
      <c r="G54" s="5" t="s">
        <v>44</v>
      </c>
      <c r="H54" s="5" t="s">
        <v>30</v>
      </c>
      <c r="I54" s="5" t="s">
        <v>16</v>
      </c>
      <c r="J54" s="5" t="s">
        <v>16</v>
      </c>
      <c r="K54" s="9">
        <f t="shared" si="1"/>
        <v>0</v>
      </c>
      <c r="L54" s="5" t="s">
        <v>16</v>
      </c>
      <c r="M54" s="5" t="s">
        <v>30</v>
      </c>
      <c r="N54" s="5" t="s">
        <v>55</v>
      </c>
      <c r="O54" s="5" t="s">
        <v>44</v>
      </c>
      <c r="P54" s="5" t="s">
        <v>30</v>
      </c>
      <c r="Q54" s="5" t="s">
        <v>16</v>
      </c>
      <c r="R54" s="5" t="s">
        <v>16</v>
      </c>
    </row>
    <row r="55" spans="1:18" s="5" customFormat="1" x14ac:dyDescent="0.3">
      <c r="A55" s="5" t="s">
        <v>214</v>
      </c>
      <c r="B55" s="5" t="s">
        <v>44</v>
      </c>
      <c r="C55" s="5" t="s">
        <v>44</v>
      </c>
      <c r="D55" s="5" t="s">
        <v>56</v>
      </c>
      <c r="E55" s="5" t="s">
        <v>44</v>
      </c>
      <c r="F55" s="5" t="s">
        <v>44</v>
      </c>
      <c r="G55" s="5" t="s">
        <v>44</v>
      </c>
      <c r="H55" s="5" t="s">
        <v>56</v>
      </c>
      <c r="I55" s="5" t="s">
        <v>56</v>
      </c>
      <c r="J55" s="5" t="s">
        <v>30</v>
      </c>
      <c r="K55" s="9">
        <f t="shared" si="1"/>
        <v>0</v>
      </c>
      <c r="L55" s="5" t="s">
        <v>56</v>
      </c>
      <c r="M55" s="5" t="s">
        <v>44</v>
      </c>
      <c r="N55" s="5" t="s">
        <v>44</v>
      </c>
      <c r="O55" s="5" t="s">
        <v>44</v>
      </c>
      <c r="P55" s="5" t="s">
        <v>56</v>
      </c>
      <c r="Q55" s="5" t="s">
        <v>56</v>
      </c>
      <c r="R55" s="5" t="s">
        <v>30</v>
      </c>
    </row>
    <row r="56" spans="1:18" s="5" customFormat="1" x14ac:dyDescent="0.3">
      <c r="A56" s="5" t="s">
        <v>213</v>
      </c>
      <c r="B56" s="5" t="s">
        <v>30</v>
      </c>
      <c r="C56" s="5" t="s">
        <v>30</v>
      </c>
      <c r="D56" s="5" t="s">
        <v>55</v>
      </c>
      <c r="E56" s="5" t="s">
        <v>30</v>
      </c>
      <c r="F56" s="5" t="s">
        <v>30</v>
      </c>
      <c r="G56" s="5" t="s">
        <v>30</v>
      </c>
      <c r="H56" s="5" t="s">
        <v>30</v>
      </c>
      <c r="I56" s="5" t="s">
        <v>30</v>
      </c>
      <c r="J56" s="5" t="s">
        <v>55</v>
      </c>
      <c r="K56" s="9">
        <f t="shared" si="1"/>
        <v>0</v>
      </c>
      <c r="L56" s="5" t="s">
        <v>55</v>
      </c>
      <c r="M56" s="5" t="s">
        <v>30</v>
      </c>
      <c r="N56" s="5" t="s">
        <v>30</v>
      </c>
      <c r="O56" s="5" t="s">
        <v>30</v>
      </c>
      <c r="P56" s="5" t="s">
        <v>30</v>
      </c>
      <c r="Q56" s="5" t="s">
        <v>30</v>
      </c>
      <c r="R56" s="5" t="s">
        <v>55</v>
      </c>
    </row>
    <row r="57" spans="1:18" s="5" customFormat="1" x14ac:dyDescent="0.3">
      <c r="A57" s="5" t="s">
        <v>397</v>
      </c>
      <c r="B57" s="5" t="s">
        <v>44</v>
      </c>
      <c r="C57" s="5" t="s">
        <v>44</v>
      </c>
      <c r="D57" s="5" t="s">
        <v>55</v>
      </c>
      <c r="E57" s="5" t="s">
        <v>44</v>
      </c>
      <c r="F57" s="5" t="s">
        <v>55</v>
      </c>
      <c r="G57" s="5" t="s">
        <v>44</v>
      </c>
      <c r="H57" s="5" t="s">
        <v>30</v>
      </c>
      <c r="I57" s="5" t="s">
        <v>44</v>
      </c>
      <c r="J57" s="5" t="s">
        <v>30</v>
      </c>
      <c r="K57" s="9">
        <f t="shared" si="1"/>
        <v>0</v>
      </c>
      <c r="L57" s="5" t="s">
        <v>55</v>
      </c>
      <c r="M57" s="5" t="s">
        <v>44</v>
      </c>
      <c r="N57" s="5" t="s">
        <v>55</v>
      </c>
      <c r="O57" s="5" t="s">
        <v>44</v>
      </c>
      <c r="P57" s="5" t="s">
        <v>30</v>
      </c>
      <c r="Q57" s="5" t="s">
        <v>44</v>
      </c>
      <c r="R57" s="5" t="s">
        <v>30</v>
      </c>
    </row>
    <row r="58" spans="1:18" s="5" customFormat="1" x14ac:dyDescent="0.3">
      <c r="A58" s="5" t="s">
        <v>212</v>
      </c>
      <c r="B58" s="5" t="s">
        <v>30</v>
      </c>
      <c r="C58" s="5" t="s">
        <v>30</v>
      </c>
      <c r="D58" s="5" t="s">
        <v>55</v>
      </c>
      <c r="E58" s="5" t="s">
        <v>179</v>
      </c>
      <c r="F58" s="5" t="s">
        <v>30</v>
      </c>
      <c r="G58" s="5" t="s">
        <v>37</v>
      </c>
      <c r="H58" s="5" t="s">
        <v>30</v>
      </c>
      <c r="I58" s="5" t="s">
        <v>30</v>
      </c>
      <c r="J58" s="5" t="s">
        <v>30</v>
      </c>
      <c r="K58" s="9">
        <f t="shared" si="1"/>
        <v>0</v>
      </c>
      <c r="L58" s="5" t="s">
        <v>55</v>
      </c>
      <c r="M58" s="5" t="s">
        <v>179</v>
      </c>
      <c r="N58" s="5" t="s">
        <v>30</v>
      </c>
      <c r="O58" s="5" t="s">
        <v>37</v>
      </c>
      <c r="P58" s="5" t="s">
        <v>30</v>
      </c>
      <c r="Q58" s="5" t="s">
        <v>30</v>
      </c>
      <c r="R58" s="5" t="s">
        <v>30</v>
      </c>
    </row>
    <row r="59" spans="1:18" s="5" customFormat="1" x14ac:dyDescent="0.3">
      <c r="A59" s="5" t="s">
        <v>211</v>
      </c>
      <c r="B59" s="5" t="s">
        <v>37</v>
      </c>
      <c r="C59" s="5" t="s">
        <v>37</v>
      </c>
      <c r="D59" s="5" t="s">
        <v>55</v>
      </c>
      <c r="E59" s="5" t="s">
        <v>37</v>
      </c>
      <c r="F59" s="5" t="s">
        <v>30</v>
      </c>
      <c r="G59" s="5" t="s">
        <v>44</v>
      </c>
      <c r="H59" s="5" t="s">
        <v>55</v>
      </c>
      <c r="I59" s="5" t="s">
        <v>55</v>
      </c>
      <c r="J59" s="5" t="s">
        <v>55</v>
      </c>
      <c r="K59" s="9">
        <f t="shared" si="1"/>
        <v>0</v>
      </c>
      <c r="L59" s="5" t="s">
        <v>55</v>
      </c>
      <c r="M59" s="5" t="s">
        <v>37</v>
      </c>
      <c r="N59" s="5" t="s">
        <v>30</v>
      </c>
      <c r="O59" s="5" t="s">
        <v>44</v>
      </c>
      <c r="P59" s="5" t="s">
        <v>55</v>
      </c>
      <c r="Q59" s="5" t="s">
        <v>55</v>
      </c>
      <c r="R59" s="5" t="s">
        <v>55</v>
      </c>
    </row>
    <row r="60" spans="1:18" s="5" customFormat="1" x14ac:dyDescent="0.3">
      <c r="A60" s="5" t="s">
        <v>210</v>
      </c>
      <c r="B60" s="5" t="s">
        <v>37</v>
      </c>
      <c r="C60" s="5" t="s">
        <v>37</v>
      </c>
      <c r="D60" s="5" t="s">
        <v>37</v>
      </c>
      <c r="E60" s="5" t="s">
        <v>37</v>
      </c>
      <c r="F60" s="5" t="s">
        <v>37</v>
      </c>
      <c r="G60" s="5" t="s">
        <v>37</v>
      </c>
      <c r="H60" s="5" t="s">
        <v>179</v>
      </c>
      <c r="I60" s="5" t="s">
        <v>37</v>
      </c>
      <c r="J60" s="5" t="s">
        <v>37</v>
      </c>
      <c r="K60" s="9">
        <f t="shared" si="1"/>
        <v>0</v>
      </c>
      <c r="L60" s="5" t="s">
        <v>37</v>
      </c>
      <c r="M60" s="5" t="s">
        <v>37</v>
      </c>
      <c r="N60" s="5" t="s">
        <v>37</v>
      </c>
      <c r="O60" s="5" t="s">
        <v>37</v>
      </c>
      <c r="P60" s="5" t="s">
        <v>179</v>
      </c>
      <c r="Q60" s="5" t="s">
        <v>37</v>
      </c>
      <c r="R60" s="5" t="s">
        <v>37</v>
      </c>
    </row>
    <row r="61" spans="1:18" s="5" customFormat="1" x14ac:dyDescent="0.3">
      <c r="A61" s="5" t="s">
        <v>209</v>
      </c>
      <c r="B61" s="5" t="s">
        <v>30</v>
      </c>
      <c r="C61" s="5" t="s">
        <v>30</v>
      </c>
      <c r="D61" s="5" t="s">
        <v>55</v>
      </c>
      <c r="E61" s="5" t="s">
        <v>30</v>
      </c>
      <c r="F61" s="5" t="s">
        <v>30</v>
      </c>
      <c r="G61" s="5" t="s">
        <v>30</v>
      </c>
      <c r="H61" s="5" t="s">
        <v>55</v>
      </c>
      <c r="I61" s="5" t="s">
        <v>56</v>
      </c>
      <c r="J61" s="5" t="s">
        <v>30</v>
      </c>
      <c r="K61" s="9">
        <f t="shared" si="1"/>
        <v>0</v>
      </c>
      <c r="L61" s="5" t="s">
        <v>55</v>
      </c>
      <c r="M61" s="5" t="s">
        <v>30</v>
      </c>
      <c r="N61" s="5" t="s">
        <v>30</v>
      </c>
      <c r="O61" s="5" t="s">
        <v>30</v>
      </c>
      <c r="P61" s="5" t="s">
        <v>55</v>
      </c>
      <c r="Q61" s="5" t="s">
        <v>56</v>
      </c>
      <c r="R61" s="5" t="s">
        <v>30</v>
      </c>
    </row>
    <row r="62" spans="1:18" s="5" customFormat="1" x14ac:dyDescent="0.3">
      <c r="A62" s="5" t="s">
        <v>208</v>
      </c>
      <c r="B62" s="5" t="s">
        <v>44</v>
      </c>
      <c r="C62" s="5" t="s">
        <v>44</v>
      </c>
      <c r="D62" s="5" t="s">
        <v>55</v>
      </c>
      <c r="E62" s="5" t="s">
        <v>44</v>
      </c>
      <c r="F62" s="5" t="s">
        <v>44</v>
      </c>
      <c r="G62" s="5" t="s">
        <v>44</v>
      </c>
      <c r="H62" s="5" t="s">
        <v>44</v>
      </c>
      <c r="I62" s="5" t="s">
        <v>44</v>
      </c>
      <c r="J62" s="5" t="s">
        <v>44</v>
      </c>
      <c r="K62" s="9">
        <f t="shared" si="1"/>
        <v>0</v>
      </c>
      <c r="L62" s="5" t="s">
        <v>55</v>
      </c>
      <c r="M62" s="5" t="s">
        <v>44</v>
      </c>
      <c r="N62" s="5" t="s">
        <v>44</v>
      </c>
      <c r="O62" s="5" t="s">
        <v>44</v>
      </c>
      <c r="P62" s="5" t="s">
        <v>44</v>
      </c>
      <c r="Q62" s="5" t="s">
        <v>44</v>
      </c>
      <c r="R62" s="5" t="s">
        <v>44</v>
      </c>
    </row>
    <row r="63" spans="1:18" x14ac:dyDescent="0.3">
      <c r="A63" t="s">
        <v>207</v>
      </c>
      <c r="B63" t="s">
        <v>44</v>
      </c>
      <c r="C63" t="s">
        <v>44</v>
      </c>
      <c r="D63" t="s">
        <v>206</v>
      </c>
      <c r="E63" t="s">
        <v>44</v>
      </c>
      <c r="F63" t="s">
        <v>44</v>
      </c>
      <c r="G63" t="s">
        <v>44</v>
      </c>
      <c r="H63" t="s">
        <v>44</v>
      </c>
      <c r="I63" t="s">
        <v>44</v>
      </c>
      <c r="J63" t="s">
        <v>44</v>
      </c>
      <c r="K63" s="8">
        <f t="shared" si="1"/>
        <v>1</v>
      </c>
      <c r="L63" t="s">
        <v>206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</row>
    <row r="64" spans="1:18" x14ac:dyDescent="0.3">
      <c r="A64" t="s">
        <v>205</v>
      </c>
      <c r="B64" t="s">
        <v>16</v>
      </c>
      <c r="C64" t="s">
        <v>16</v>
      </c>
      <c r="D64" t="s">
        <v>140</v>
      </c>
      <c r="E64" t="s">
        <v>16</v>
      </c>
      <c r="F64" t="s">
        <v>16</v>
      </c>
      <c r="G64" t="s">
        <v>16</v>
      </c>
      <c r="H64" t="s">
        <v>16</v>
      </c>
      <c r="I64" t="s">
        <v>16</v>
      </c>
      <c r="J64" t="s">
        <v>16</v>
      </c>
      <c r="K64" s="8">
        <f t="shared" si="1"/>
        <v>1</v>
      </c>
      <c r="L64" t="s">
        <v>140</v>
      </c>
      <c r="M64" t="s">
        <v>16</v>
      </c>
      <c r="N64" t="s">
        <v>16</v>
      </c>
      <c r="O64" t="s">
        <v>16</v>
      </c>
      <c r="P64" t="s">
        <v>16</v>
      </c>
      <c r="Q64" t="s">
        <v>16</v>
      </c>
      <c r="R64" t="s">
        <v>16</v>
      </c>
    </row>
    <row r="65" spans="1:18" x14ac:dyDescent="0.3">
      <c r="A65" t="s">
        <v>204</v>
      </c>
      <c r="B65" t="s">
        <v>30</v>
      </c>
      <c r="C65" t="s">
        <v>30</v>
      </c>
      <c r="D65" t="s">
        <v>203</v>
      </c>
      <c r="E65" t="s">
        <v>30</v>
      </c>
      <c r="F65" t="s">
        <v>30</v>
      </c>
      <c r="G65" t="s">
        <v>30</v>
      </c>
      <c r="H65" t="s">
        <v>30</v>
      </c>
      <c r="I65" t="s">
        <v>30</v>
      </c>
      <c r="J65" t="s">
        <v>30</v>
      </c>
      <c r="K65" s="8">
        <f t="shared" si="1"/>
        <v>1</v>
      </c>
      <c r="L65" t="s">
        <v>203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</row>
    <row r="66" spans="1:18" x14ac:dyDescent="0.3">
      <c r="A66" t="s">
        <v>202</v>
      </c>
      <c r="B66" t="s">
        <v>30</v>
      </c>
      <c r="C66" t="s">
        <v>30</v>
      </c>
      <c r="D66" t="s">
        <v>30</v>
      </c>
      <c r="E66" t="s">
        <v>30</v>
      </c>
      <c r="F66" t="s">
        <v>30</v>
      </c>
      <c r="G66" t="s">
        <v>30</v>
      </c>
      <c r="H66" t="s">
        <v>30</v>
      </c>
      <c r="I66" t="s">
        <v>30</v>
      </c>
      <c r="J66" t="s">
        <v>30</v>
      </c>
      <c r="K66" s="8">
        <f t="shared" ref="K66:K97" si="2">IF(AND(B66=C66,C66=D66,D66=E66,E66=F66,F66=G66,G66=H66,H66=I66,I66=J66), 1, 0)</f>
        <v>1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30</v>
      </c>
      <c r="R66" t="s">
        <v>30</v>
      </c>
    </row>
    <row r="67" spans="1:18" x14ac:dyDescent="0.3">
      <c r="A67" t="s">
        <v>201</v>
      </c>
      <c r="B67" t="s">
        <v>24</v>
      </c>
      <c r="C67" t="s">
        <v>24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s="8">
        <f t="shared" si="2"/>
        <v>1</v>
      </c>
      <c r="L67" t="s">
        <v>24</v>
      </c>
      <c r="M67" t="s">
        <v>24</v>
      </c>
      <c r="N67" t="s">
        <v>24</v>
      </c>
      <c r="O67" t="s">
        <v>24</v>
      </c>
      <c r="P67" t="s">
        <v>24</v>
      </c>
      <c r="Q67" t="s">
        <v>24</v>
      </c>
      <c r="R67" t="s">
        <v>24</v>
      </c>
    </row>
    <row r="68" spans="1:18" x14ac:dyDescent="0.3">
      <c r="A68" t="s">
        <v>200</v>
      </c>
      <c r="B68" t="s">
        <v>30</v>
      </c>
      <c r="C68" t="s">
        <v>30</v>
      </c>
      <c r="D68" t="s">
        <v>30</v>
      </c>
      <c r="E68" t="s">
        <v>30</v>
      </c>
      <c r="F68" t="s">
        <v>30</v>
      </c>
      <c r="G68" t="s">
        <v>30</v>
      </c>
      <c r="H68" t="s">
        <v>30</v>
      </c>
      <c r="I68" t="s">
        <v>30</v>
      </c>
      <c r="J68" t="s">
        <v>30</v>
      </c>
      <c r="K68" s="8">
        <f t="shared" si="2"/>
        <v>1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</row>
    <row r="69" spans="1:18" x14ac:dyDescent="0.3">
      <c r="A69" t="s">
        <v>199</v>
      </c>
      <c r="B69" t="s">
        <v>16</v>
      </c>
      <c r="C69" t="s">
        <v>16</v>
      </c>
      <c r="D69" t="s">
        <v>16</v>
      </c>
      <c r="E69" t="s">
        <v>16</v>
      </c>
      <c r="F69" t="s">
        <v>16</v>
      </c>
      <c r="G69" t="s">
        <v>16</v>
      </c>
      <c r="H69" t="s">
        <v>16</v>
      </c>
      <c r="I69" t="s">
        <v>16</v>
      </c>
      <c r="J69" t="s">
        <v>16</v>
      </c>
      <c r="K69" s="8">
        <f t="shared" si="2"/>
        <v>1</v>
      </c>
      <c r="L69" t="s">
        <v>16</v>
      </c>
      <c r="M69" t="s">
        <v>16</v>
      </c>
      <c r="N69" t="s">
        <v>16</v>
      </c>
      <c r="O69" t="s">
        <v>16</v>
      </c>
      <c r="P69" t="s">
        <v>16</v>
      </c>
      <c r="Q69" t="s">
        <v>16</v>
      </c>
      <c r="R69" t="s">
        <v>16</v>
      </c>
    </row>
    <row r="70" spans="1:18" x14ac:dyDescent="0.3">
      <c r="A70" t="s">
        <v>198</v>
      </c>
      <c r="B70" t="s">
        <v>30</v>
      </c>
      <c r="C70" t="s">
        <v>30</v>
      </c>
      <c r="D70" t="s">
        <v>30</v>
      </c>
      <c r="E70" t="s">
        <v>30</v>
      </c>
      <c r="F70" t="s">
        <v>30</v>
      </c>
      <c r="G70" t="s">
        <v>30</v>
      </c>
      <c r="H70" t="s">
        <v>30</v>
      </c>
      <c r="I70" t="s">
        <v>30</v>
      </c>
      <c r="J70" t="s">
        <v>30</v>
      </c>
      <c r="K70" s="8">
        <f t="shared" si="2"/>
        <v>1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30</v>
      </c>
    </row>
    <row r="71" spans="1:18" x14ac:dyDescent="0.3">
      <c r="A71" t="s">
        <v>197</v>
      </c>
      <c r="B71" t="s">
        <v>30</v>
      </c>
      <c r="C71" t="s">
        <v>30</v>
      </c>
      <c r="D71" t="s">
        <v>30</v>
      </c>
      <c r="E71" t="s">
        <v>30</v>
      </c>
      <c r="F71" t="s">
        <v>30</v>
      </c>
      <c r="G71" t="s">
        <v>30</v>
      </c>
      <c r="H71" t="s">
        <v>30</v>
      </c>
      <c r="I71" t="s">
        <v>30</v>
      </c>
      <c r="J71" t="s">
        <v>30</v>
      </c>
      <c r="K71" s="8">
        <f t="shared" si="2"/>
        <v>1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30</v>
      </c>
      <c r="R71" t="s">
        <v>30</v>
      </c>
    </row>
    <row r="72" spans="1:18" x14ac:dyDescent="0.3">
      <c r="A72" t="s">
        <v>196</v>
      </c>
      <c r="B72" t="s">
        <v>30</v>
      </c>
      <c r="C72" t="s">
        <v>30</v>
      </c>
      <c r="D72" t="s">
        <v>30</v>
      </c>
      <c r="E72" t="s">
        <v>30</v>
      </c>
      <c r="F72" t="s">
        <v>30</v>
      </c>
      <c r="G72" t="s">
        <v>30</v>
      </c>
      <c r="H72" t="s">
        <v>30</v>
      </c>
      <c r="I72" t="s">
        <v>30</v>
      </c>
      <c r="J72" t="s">
        <v>30</v>
      </c>
      <c r="K72" s="8">
        <f t="shared" si="2"/>
        <v>1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30</v>
      </c>
      <c r="R72" t="s">
        <v>30</v>
      </c>
    </row>
    <row r="73" spans="1:18" x14ac:dyDescent="0.3">
      <c r="A73" t="s">
        <v>195</v>
      </c>
      <c r="B73" t="s">
        <v>37</v>
      </c>
      <c r="C73" t="s">
        <v>37</v>
      </c>
      <c r="D73" t="s">
        <v>37</v>
      </c>
      <c r="E73" t="s">
        <v>37</v>
      </c>
      <c r="F73" t="s">
        <v>37</v>
      </c>
      <c r="G73" t="s">
        <v>37</v>
      </c>
      <c r="H73" t="s">
        <v>37</v>
      </c>
      <c r="I73" t="s">
        <v>37</v>
      </c>
      <c r="J73" t="s">
        <v>37</v>
      </c>
      <c r="K73" s="8">
        <f t="shared" si="2"/>
        <v>1</v>
      </c>
      <c r="L73" t="s">
        <v>37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37</v>
      </c>
    </row>
    <row r="74" spans="1:18" x14ac:dyDescent="0.3">
      <c r="A74" t="s">
        <v>194</v>
      </c>
      <c r="B74" t="s">
        <v>30</v>
      </c>
      <c r="C74" t="s">
        <v>30</v>
      </c>
      <c r="D74" t="s">
        <v>30</v>
      </c>
      <c r="E74" t="s">
        <v>30</v>
      </c>
      <c r="F74" t="s">
        <v>30</v>
      </c>
      <c r="G74" t="s">
        <v>30</v>
      </c>
      <c r="H74" t="s">
        <v>30</v>
      </c>
      <c r="I74" t="s">
        <v>30</v>
      </c>
      <c r="J74" t="s">
        <v>30</v>
      </c>
      <c r="K74" s="8">
        <f t="shared" si="2"/>
        <v>1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30</v>
      </c>
      <c r="R74" t="s">
        <v>30</v>
      </c>
    </row>
    <row r="75" spans="1:18" x14ac:dyDescent="0.3">
      <c r="A75" t="s">
        <v>193</v>
      </c>
      <c r="B75" t="s">
        <v>37</v>
      </c>
      <c r="C75" t="s">
        <v>37</v>
      </c>
      <c r="D75" t="s">
        <v>37</v>
      </c>
      <c r="E75" t="s">
        <v>37</v>
      </c>
      <c r="F75" t="s">
        <v>37</v>
      </c>
      <c r="G75" t="s">
        <v>37</v>
      </c>
      <c r="H75" t="s">
        <v>37</v>
      </c>
      <c r="I75" t="s">
        <v>37</v>
      </c>
      <c r="J75" t="s">
        <v>37</v>
      </c>
      <c r="K75" s="8">
        <f t="shared" si="2"/>
        <v>1</v>
      </c>
      <c r="L75" t="s">
        <v>37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37</v>
      </c>
    </row>
    <row r="76" spans="1:18" x14ac:dyDescent="0.3">
      <c r="A76" t="s">
        <v>192</v>
      </c>
      <c r="B76" t="s">
        <v>30</v>
      </c>
      <c r="C76" t="s">
        <v>30</v>
      </c>
      <c r="D76" t="s">
        <v>30</v>
      </c>
      <c r="E76" t="s">
        <v>30</v>
      </c>
      <c r="F76" t="s">
        <v>30</v>
      </c>
      <c r="G76" t="s">
        <v>30</v>
      </c>
      <c r="H76" t="s">
        <v>30</v>
      </c>
      <c r="I76" t="s">
        <v>30</v>
      </c>
      <c r="J76" t="s">
        <v>30</v>
      </c>
      <c r="K76" s="8">
        <f t="shared" si="2"/>
        <v>1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30</v>
      </c>
      <c r="R76" t="s">
        <v>30</v>
      </c>
    </row>
    <row r="77" spans="1:18" x14ac:dyDescent="0.3">
      <c r="A77" t="s">
        <v>191</v>
      </c>
      <c r="B77" t="s">
        <v>30</v>
      </c>
      <c r="C77" t="s">
        <v>30</v>
      </c>
      <c r="D77" t="s">
        <v>30</v>
      </c>
      <c r="E77" t="s">
        <v>30</v>
      </c>
      <c r="F77" t="s">
        <v>30</v>
      </c>
      <c r="G77" t="s">
        <v>30</v>
      </c>
      <c r="H77" t="s">
        <v>30</v>
      </c>
      <c r="I77" t="s">
        <v>30</v>
      </c>
      <c r="J77" t="s">
        <v>30</v>
      </c>
      <c r="K77" s="8">
        <f t="shared" si="2"/>
        <v>1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30</v>
      </c>
      <c r="R77" t="s">
        <v>30</v>
      </c>
    </row>
    <row r="78" spans="1:18" x14ac:dyDescent="0.3">
      <c r="A78" t="s">
        <v>190</v>
      </c>
      <c r="B78" t="s">
        <v>30</v>
      </c>
      <c r="C78" t="s">
        <v>30</v>
      </c>
      <c r="D78" t="s">
        <v>30</v>
      </c>
      <c r="E78" t="s">
        <v>30</v>
      </c>
      <c r="F78" t="s">
        <v>30</v>
      </c>
      <c r="G78" t="s">
        <v>30</v>
      </c>
      <c r="H78" t="s">
        <v>30</v>
      </c>
      <c r="I78" t="s">
        <v>30</v>
      </c>
      <c r="J78" t="s">
        <v>30</v>
      </c>
      <c r="K78" s="8">
        <f t="shared" si="2"/>
        <v>1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30</v>
      </c>
      <c r="R78" t="s">
        <v>30</v>
      </c>
    </row>
    <row r="79" spans="1:18" x14ac:dyDescent="0.3">
      <c r="A79" t="s">
        <v>189</v>
      </c>
      <c r="B79" t="s">
        <v>30</v>
      </c>
      <c r="C79" t="s">
        <v>30</v>
      </c>
      <c r="D79" t="s">
        <v>30</v>
      </c>
      <c r="E79" t="s">
        <v>30</v>
      </c>
      <c r="F79" t="s">
        <v>30</v>
      </c>
      <c r="G79" t="s">
        <v>30</v>
      </c>
      <c r="H79" t="s">
        <v>30</v>
      </c>
      <c r="I79" t="s">
        <v>30</v>
      </c>
      <c r="J79" t="s">
        <v>30</v>
      </c>
      <c r="K79" s="8">
        <f t="shared" si="2"/>
        <v>1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30</v>
      </c>
      <c r="R79" t="s">
        <v>30</v>
      </c>
    </row>
    <row r="80" spans="1:18" x14ac:dyDescent="0.3">
      <c r="A80" t="s">
        <v>188</v>
      </c>
      <c r="B80" t="s">
        <v>30</v>
      </c>
      <c r="C80" t="s">
        <v>30</v>
      </c>
      <c r="D80" t="s">
        <v>30</v>
      </c>
      <c r="E80" t="s">
        <v>30</v>
      </c>
      <c r="F80" t="s">
        <v>30</v>
      </c>
      <c r="G80" t="s">
        <v>30</v>
      </c>
      <c r="H80" t="s">
        <v>30</v>
      </c>
      <c r="I80" t="s">
        <v>30</v>
      </c>
      <c r="J80" t="s">
        <v>30</v>
      </c>
      <c r="K80" s="8">
        <f t="shared" si="2"/>
        <v>1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30</v>
      </c>
      <c r="R80" t="s">
        <v>30</v>
      </c>
    </row>
    <row r="81" spans="1:18" x14ac:dyDescent="0.3">
      <c r="A81" t="s">
        <v>187</v>
      </c>
      <c r="B81" t="s">
        <v>30</v>
      </c>
      <c r="C81" t="s">
        <v>30</v>
      </c>
      <c r="D81" t="s">
        <v>30</v>
      </c>
      <c r="E81" t="s">
        <v>30</v>
      </c>
      <c r="F81" t="s">
        <v>30</v>
      </c>
      <c r="G81" t="s">
        <v>30</v>
      </c>
      <c r="H81" t="s">
        <v>30</v>
      </c>
      <c r="I81" t="s">
        <v>30</v>
      </c>
      <c r="J81" t="s">
        <v>30</v>
      </c>
      <c r="K81" s="8">
        <f t="shared" si="2"/>
        <v>1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30</v>
      </c>
      <c r="R81" t="s">
        <v>30</v>
      </c>
    </row>
    <row r="82" spans="1:18" x14ac:dyDescent="0.3">
      <c r="A82" t="s">
        <v>186</v>
      </c>
      <c r="B82" t="s">
        <v>30</v>
      </c>
      <c r="C82" t="s">
        <v>30</v>
      </c>
      <c r="D82" t="s">
        <v>30</v>
      </c>
      <c r="E82" t="s">
        <v>30</v>
      </c>
      <c r="F82" t="s">
        <v>30</v>
      </c>
      <c r="G82" t="s">
        <v>30</v>
      </c>
      <c r="H82" t="s">
        <v>30</v>
      </c>
      <c r="I82" t="s">
        <v>30</v>
      </c>
      <c r="J82" t="s">
        <v>30</v>
      </c>
      <c r="K82" s="8">
        <f t="shared" si="2"/>
        <v>1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30</v>
      </c>
      <c r="R82" t="s">
        <v>30</v>
      </c>
    </row>
    <row r="83" spans="1:18" x14ac:dyDescent="0.3">
      <c r="A83" t="s">
        <v>185</v>
      </c>
      <c r="B83" t="s">
        <v>30</v>
      </c>
      <c r="C83" t="s">
        <v>30</v>
      </c>
      <c r="D83" t="s">
        <v>30</v>
      </c>
      <c r="E83" t="s">
        <v>30</v>
      </c>
      <c r="F83" t="s">
        <v>30</v>
      </c>
      <c r="G83" t="s">
        <v>30</v>
      </c>
      <c r="H83" t="s">
        <v>30</v>
      </c>
      <c r="I83" t="s">
        <v>30</v>
      </c>
      <c r="J83" t="s">
        <v>30</v>
      </c>
      <c r="K83" s="8">
        <f t="shared" si="2"/>
        <v>1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30</v>
      </c>
      <c r="R83" t="s">
        <v>30</v>
      </c>
    </row>
    <row r="84" spans="1:18" x14ac:dyDescent="0.3">
      <c r="A84" t="s">
        <v>184</v>
      </c>
      <c r="B84" t="s">
        <v>16</v>
      </c>
      <c r="C84" t="s">
        <v>16</v>
      </c>
      <c r="D84" t="s">
        <v>16</v>
      </c>
      <c r="E84" t="s">
        <v>16</v>
      </c>
      <c r="F84" t="s">
        <v>16</v>
      </c>
      <c r="G84" t="s">
        <v>16</v>
      </c>
      <c r="H84" t="s">
        <v>16</v>
      </c>
      <c r="I84" t="s">
        <v>16</v>
      </c>
      <c r="J84" t="s">
        <v>16</v>
      </c>
      <c r="K84" s="8">
        <f t="shared" si="2"/>
        <v>1</v>
      </c>
      <c r="L84" t="s">
        <v>16</v>
      </c>
      <c r="M84" t="s">
        <v>16</v>
      </c>
      <c r="N84" t="s">
        <v>16</v>
      </c>
      <c r="O84" t="s">
        <v>16</v>
      </c>
      <c r="P84" t="s">
        <v>16</v>
      </c>
      <c r="Q84" t="s">
        <v>16</v>
      </c>
      <c r="R84" t="s">
        <v>16</v>
      </c>
    </row>
    <row r="85" spans="1:18" x14ac:dyDescent="0.3">
      <c r="A85" t="s">
        <v>183</v>
      </c>
      <c r="B85" t="s">
        <v>30</v>
      </c>
      <c r="C85" t="s">
        <v>30</v>
      </c>
      <c r="D85" t="s">
        <v>30</v>
      </c>
      <c r="E85" t="s">
        <v>30</v>
      </c>
      <c r="F85" t="s">
        <v>30</v>
      </c>
      <c r="G85" t="s">
        <v>30</v>
      </c>
      <c r="H85" t="s">
        <v>30</v>
      </c>
      <c r="I85" t="s">
        <v>30</v>
      </c>
      <c r="J85" t="s">
        <v>30</v>
      </c>
      <c r="K85" s="8">
        <f t="shared" si="2"/>
        <v>1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30</v>
      </c>
      <c r="R85" t="s">
        <v>30</v>
      </c>
    </row>
    <row r="86" spans="1:18" x14ac:dyDescent="0.3">
      <c r="A86" t="s">
        <v>182</v>
      </c>
      <c r="B86" t="s">
        <v>44</v>
      </c>
      <c r="C86" t="s">
        <v>44</v>
      </c>
      <c r="D86" t="s">
        <v>44</v>
      </c>
      <c r="E86" t="s">
        <v>44</v>
      </c>
      <c r="F86" t="s">
        <v>44</v>
      </c>
      <c r="G86" t="s">
        <v>44</v>
      </c>
      <c r="H86" t="s">
        <v>44</v>
      </c>
      <c r="I86" t="s">
        <v>44</v>
      </c>
      <c r="J86" t="s">
        <v>44</v>
      </c>
      <c r="K86" s="8">
        <f t="shared" si="2"/>
        <v>1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</row>
    <row r="87" spans="1:18" x14ac:dyDescent="0.3">
      <c r="A87" t="s">
        <v>181</v>
      </c>
      <c r="B87" t="s">
        <v>30</v>
      </c>
      <c r="C87" t="s">
        <v>30</v>
      </c>
      <c r="D87" t="s">
        <v>30</v>
      </c>
      <c r="E87" t="s">
        <v>30</v>
      </c>
      <c r="F87" t="s">
        <v>30</v>
      </c>
      <c r="G87" t="s">
        <v>30</v>
      </c>
      <c r="H87" t="s">
        <v>30</v>
      </c>
      <c r="I87" t="s">
        <v>30</v>
      </c>
      <c r="J87" t="s">
        <v>30</v>
      </c>
      <c r="K87" s="8">
        <f t="shared" si="2"/>
        <v>1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30</v>
      </c>
      <c r="R87" t="s">
        <v>30</v>
      </c>
    </row>
    <row r="88" spans="1:18" x14ac:dyDescent="0.3">
      <c r="A88" t="s">
        <v>180</v>
      </c>
      <c r="B88" t="s">
        <v>179</v>
      </c>
      <c r="C88" t="s">
        <v>179</v>
      </c>
      <c r="D88" t="s">
        <v>179</v>
      </c>
      <c r="E88" t="s">
        <v>179</v>
      </c>
      <c r="F88" t="s">
        <v>179</v>
      </c>
      <c r="G88" t="s">
        <v>179</v>
      </c>
      <c r="H88" t="s">
        <v>179</v>
      </c>
      <c r="I88" t="s">
        <v>179</v>
      </c>
      <c r="J88" t="s">
        <v>179</v>
      </c>
      <c r="K88" s="8">
        <f t="shared" si="2"/>
        <v>1</v>
      </c>
      <c r="L88" t="s">
        <v>179</v>
      </c>
      <c r="M88" t="s">
        <v>179</v>
      </c>
      <c r="N88" t="s">
        <v>179</v>
      </c>
      <c r="O88" t="s">
        <v>179</v>
      </c>
      <c r="P88" t="s">
        <v>179</v>
      </c>
      <c r="Q88" t="s">
        <v>179</v>
      </c>
      <c r="R88" t="s">
        <v>179</v>
      </c>
    </row>
    <row r="89" spans="1:18" x14ac:dyDescent="0.3">
      <c r="A89" t="s">
        <v>178</v>
      </c>
      <c r="B89" t="s">
        <v>16</v>
      </c>
      <c r="C89" t="s">
        <v>16</v>
      </c>
      <c r="D89" t="s">
        <v>16</v>
      </c>
      <c r="E89" t="s">
        <v>16</v>
      </c>
      <c r="F89" t="s">
        <v>16</v>
      </c>
      <c r="G89" t="s">
        <v>16</v>
      </c>
      <c r="H89" t="s">
        <v>16</v>
      </c>
      <c r="I89" t="s">
        <v>16</v>
      </c>
      <c r="J89" t="s">
        <v>16</v>
      </c>
      <c r="K89" s="8">
        <f t="shared" si="2"/>
        <v>1</v>
      </c>
      <c r="L89" t="s">
        <v>16</v>
      </c>
      <c r="M89" t="s">
        <v>16</v>
      </c>
      <c r="N89" t="s">
        <v>16</v>
      </c>
      <c r="O89" t="s">
        <v>16</v>
      </c>
      <c r="P89" t="s">
        <v>16</v>
      </c>
      <c r="Q89" t="s">
        <v>16</v>
      </c>
      <c r="R89" t="s">
        <v>16</v>
      </c>
    </row>
    <row r="90" spans="1:18" x14ac:dyDescent="0.3">
      <c r="A90" t="s">
        <v>177</v>
      </c>
      <c r="B90" t="s">
        <v>30</v>
      </c>
      <c r="C90" t="s">
        <v>30</v>
      </c>
      <c r="D90" t="s">
        <v>30</v>
      </c>
      <c r="E90" t="s">
        <v>30</v>
      </c>
      <c r="F90" t="s">
        <v>30</v>
      </c>
      <c r="G90" t="s">
        <v>30</v>
      </c>
      <c r="H90" t="s">
        <v>30</v>
      </c>
      <c r="I90" t="s">
        <v>30</v>
      </c>
      <c r="J90" t="s">
        <v>30</v>
      </c>
      <c r="K90" s="8">
        <f t="shared" si="2"/>
        <v>1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30</v>
      </c>
      <c r="R90" t="s">
        <v>30</v>
      </c>
    </row>
    <row r="91" spans="1:18" x14ac:dyDescent="0.3">
      <c r="A91" t="s">
        <v>176</v>
      </c>
      <c r="B91" t="s">
        <v>37</v>
      </c>
      <c r="C91" t="s">
        <v>37</v>
      </c>
      <c r="D91" t="s">
        <v>37</v>
      </c>
      <c r="E91" t="s">
        <v>37</v>
      </c>
      <c r="F91" t="s">
        <v>37</v>
      </c>
      <c r="G91" t="s">
        <v>37</v>
      </c>
      <c r="H91" t="s">
        <v>37</v>
      </c>
      <c r="I91" t="s">
        <v>37</v>
      </c>
      <c r="J91" t="s">
        <v>37</v>
      </c>
      <c r="K91" s="8">
        <f t="shared" si="2"/>
        <v>1</v>
      </c>
      <c r="L91" t="s">
        <v>37</v>
      </c>
      <c r="M91" t="s">
        <v>37</v>
      </c>
      <c r="N91" t="s">
        <v>37</v>
      </c>
      <c r="O91" t="s">
        <v>37</v>
      </c>
      <c r="P91" t="s">
        <v>37</v>
      </c>
      <c r="Q91" t="s">
        <v>37</v>
      </c>
      <c r="R91" t="s">
        <v>37</v>
      </c>
    </row>
    <row r="92" spans="1:18" x14ac:dyDescent="0.3">
      <c r="A92" t="s">
        <v>175</v>
      </c>
      <c r="B92" t="s">
        <v>30</v>
      </c>
      <c r="C92" t="s">
        <v>30</v>
      </c>
      <c r="D92" t="s">
        <v>30</v>
      </c>
      <c r="E92" t="s">
        <v>30</v>
      </c>
      <c r="F92" t="s">
        <v>30</v>
      </c>
      <c r="G92" t="s">
        <v>30</v>
      </c>
      <c r="H92" t="s">
        <v>30</v>
      </c>
      <c r="I92" t="s">
        <v>30</v>
      </c>
      <c r="J92" t="s">
        <v>30</v>
      </c>
      <c r="K92" s="8">
        <f t="shared" si="2"/>
        <v>1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30</v>
      </c>
      <c r="R92" t="s">
        <v>30</v>
      </c>
    </row>
    <row r="93" spans="1:18" x14ac:dyDescent="0.3">
      <c r="A93" t="s">
        <v>174</v>
      </c>
      <c r="B93" t="s">
        <v>44</v>
      </c>
      <c r="C93" t="s">
        <v>44</v>
      </c>
      <c r="D93" t="s">
        <v>44</v>
      </c>
      <c r="E93" t="s">
        <v>44</v>
      </c>
      <c r="F93" t="s">
        <v>44</v>
      </c>
      <c r="G93" t="s">
        <v>44</v>
      </c>
      <c r="H93" t="s">
        <v>44</v>
      </c>
      <c r="I93" t="s">
        <v>44</v>
      </c>
      <c r="J93" t="s">
        <v>44</v>
      </c>
      <c r="K93" s="8">
        <f t="shared" si="2"/>
        <v>1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</row>
    <row r="94" spans="1:18" x14ac:dyDescent="0.3">
      <c r="A94" t="s">
        <v>173</v>
      </c>
      <c r="B94" t="s">
        <v>30</v>
      </c>
      <c r="C94" t="s">
        <v>30</v>
      </c>
      <c r="D94" t="s">
        <v>30</v>
      </c>
      <c r="E94" t="s">
        <v>30</v>
      </c>
      <c r="F94" t="s">
        <v>30</v>
      </c>
      <c r="G94" t="s">
        <v>30</v>
      </c>
      <c r="H94" t="s">
        <v>30</v>
      </c>
      <c r="I94" t="s">
        <v>30</v>
      </c>
      <c r="J94" t="s">
        <v>30</v>
      </c>
      <c r="K94" s="8">
        <f t="shared" si="2"/>
        <v>1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</row>
    <row r="95" spans="1:18" x14ac:dyDescent="0.3">
      <c r="A95" t="s">
        <v>172</v>
      </c>
      <c r="B95" t="s">
        <v>24</v>
      </c>
      <c r="C95" t="s">
        <v>24</v>
      </c>
      <c r="D95" t="s">
        <v>24</v>
      </c>
      <c r="E95" t="s">
        <v>24</v>
      </c>
      <c r="F95" t="s">
        <v>24</v>
      </c>
      <c r="G95" t="s">
        <v>24</v>
      </c>
      <c r="H95" t="s">
        <v>24</v>
      </c>
      <c r="I95" t="s">
        <v>24</v>
      </c>
      <c r="J95" t="s">
        <v>24</v>
      </c>
      <c r="K95" s="8">
        <f t="shared" si="2"/>
        <v>1</v>
      </c>
      <c r="L95" t="s">
        <v>24</v>
      </c>
      <c r="M95" t="s">
        <v>24</v>
      </c>
      <c r="N95" t="s">
        <v>24</v>
      </c>
      <c r="O95" t="s">
        <v>24</v>
      </c>
      <c r="P95" t="s">
        <v>24</v>
      </c>
      <c r="Q95" t="s">
        <v>24</v>
      </c>
      <c r="R95" t="s">
        <v>24</v>
      </c>
    </row>
    <row r="96" spans="1:18" x14ac:dyDescent="0.3">
      <c r="A96" t="s">
        <v>171</v>
      </c>
      <c r="B96" t="s">
        <v>24</v>
      </c>
      <c r="C96" t="s">
        <v>24</v>
      </c>
      <c r="D96" t="s">
        <v>24</v>
      </c>
      <c r="E96" t="s">
        <v>24</v>
      </c>
      <c r="F96" t="s">
        <v>24</v>
      </c>
      <c r="G96" t="s">
        <v>24</v>
      </c>
      <c r="H96" t="s">
        <v>24</v>
      </c>
      <c r="I96" t="s">
        <v>24</v>
      </c>
      <c r="J96" t="s">
        <v>24</v>
      </c>
      <c r="K96" s="8">
        <f t="shared" si="2"/>
        <v>1</v>
      </c>
      <c r="L96" t="s">
        <v>24</v>
      </c>
      <c r="M96" t="s">
        <v>24</v>
      </c>
      <c r="N96" t="s">
        <v>24</v>
      </c>
      <c r="O96" t="s">
        <v>24</v>
      </c>
      <c r="P96" t="s">
        <v>24</v>
      </c>
      <c r="Q96" t="s">
        <v>24</v>
      </c>
      <c r="R96" t="s">
        <v>24</v>
      </c>
    </row>
    <row r="97" spans="1:18" x14ac:dyDescent="0.3">
      <c r="A97" t="s">
        <v>170</v>
      </c>
      <c r="B97" t="s">
        <v>30</v>
      </c>
      <c r="C97" t="s">
        <v>30</v>
      </c>
      <c r="D97" t="s">
        <v>30</v>
      </c>
      <c r="E97" t="s">
        <v>30</v>
      </c>
      <c r="F97" t="s">
        <v>30</v>
      </c>
      <c r="G97" t="s">
        <v>30</v>
      </c>
      <c r="H97" t="s">
        <v>30</v>
      </c>
      <c r="I97" t="s">
        <v>30</v>
      </c>
      <c r="J97" t="s">
        <v>30</v>
      </c>
      <c r="K97" s="8">
        <f t="shared" si="2"/>
        <v>1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30</v>
      </c>
      <c r="R97" t="s">
        <v>30</v>
      </c>
    </row>
    <row r="98" spans="1:18" x14ac:dyDescent="0.3">
      <c r="A98" t="s">
        <v>169</v>
      </c>
      <c r="B98" t="s">
        <v>37</v>
      </c>
      <c r="C98" t="s">
        <v>37</v>
      </c>
      <c r="D98" t="s">
        <v>37</v>
      </c>
      <c r="E98" t="s">
        <v>37</v>
      </c>
      <c r="F98" t="s">
        <v>37</v>
      </c>
      <c r="G98" t="s">
        <v>37</v>
      </c>
      <c r="H98" t="s">
        <v>37</v>
      </c>
      <c r="I98" t="s">
        <v>37</v>
      </c>
      <c r="J98" t="s">
        <v>37</v>
      </c>
      <c r="K98" s="8">
        <f t="shared" ref="K98:K121" si="3">IF(AND(B98=C98,C98=D98,D98=E98,E98=F98,F98=G98,G98=H98,H98=I98,I98=J98), 1, 0)</f>
        <v>1</v>
      </c>
      <c r="L98" t="s">
        <v>37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37</v>
      </c>
    </row>
    <row r="99" spans="1:18" x14ac:dyDescent="0.3">
      <c r="A99" t="s">
        <v>168</v>
      </c>
      <c r="B99" t="s">
        <v>30</v>
      </c>
      <c r="C99" t="s">
        <v>30</v>
      </c>
      <c r="D99" t="s">
        <v>30</v>
      </c>
      <c r="E99" t="s">
        <v>30</v>
      </c>
      <c r="F99" t="s">
        <v>30</v>
      </c>
      <c r="G99" t="s">
        <v>30</v>
      </c>
      <c r="H99" t="s">
        <v>30</v>
      </c>
      <c r="I99" t="s">
        <v>30</v>
      </c>
      <c r="J99" t="s">
        <v>30</v>
      </c>
      <c r="K99" s="8">
        <f t="shared" si="3"/>
        <v>1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30</v>
      </c>
      <c r="R99" t="s">
        <v>30</v>
      </c>
    </row>
    <row r="100" spans="1:18" x14ac:dyDescent="0.3">
      <c r="A100" t="s">
        <v>167</v>
      </c>
      <c r="B100" t="s">
        <v>30</v>
      </c>
      <c r="C100" t="s">
        <v>30</v>
      </c>
      <c r="D100" t="s">
        <v>30</v>
      </c>
      <c r="E100" t="s">
        <v>30</v>
      </c>
      <c r="F100" t="s">
        <v>30</v>
      </c>
      <c r="G100" t="s">
        <v>30</v>
      </c>
      <c r="H100" t="s">
        <v>30</v>
      </c>
      <c r="I100" t="s">
        <v>30</v>
      </c>
      <c r="J100" t="s">
        <v>30</v>
      </c>
      <c r="K100" s="8">
        <f t="shared" si="3"/>
        <v>1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30</v>
      </c>
      <c r="R100" t="s">
        <v>30</v>
      </c>
    </row>
    <row r="101" spans="1:18" x14ac:dyDescent="0.3">
      <c r="A101" t="s">
        <v>166</v>
      </c>
      <c r="B101" t="s">
        <v>30</v>
      </c>
      <c r="C101" t="s">
        <v>30</v>
      </c>
      <c r="D101" t="s">
        <v>30</v>
      </c>
      <c r="E101" t="s">
        <v>30</v>
      </c>
      <c r="F101" t="s">
        <v>30</v>
      </c>
      <c r="G101" t="s">
        <v>30</v>
      </c>
      <c r="H101" t="s">
        <v>30</v>
      </c>
      <c r="I101" t="s">
        <v>30</v>
      </c>
      <c r="J101" t="s">
        <v>30</v>
      </c>
      <c r="K101" s="8">
        <f t="shared" si="3"/>
        <v>1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30</v>
      </c>
      <c r="R101" t="s">
        <v>30</v>
      </c>
    </row>
    <row r="102" spans="1:18" x14ac:dyDescent="0.3">
      <c r="A102" t="s">
        <v>165</v>
      </c>
      <c r="B102" t="s">
        <v>30</v>
      </c>
      <c r="C102" t="s">
        <v>30</v>
      </c>
      <c r="D102" t="s">
        <v>30</v>
      </c>
      <c r="E102" t="s">
        <v>30</v>
      </c>
      <c r="F102" t="s">
        <v>30</v>
      </c>
      <c r="G102" t="s">
        <v>30</v>
      </c>
      <c r="H102" t="s">
        <v>30</v>
      </c>
      <c r="I102" t="s">
        <v>30</v>
      </c>
      <c r="J102" t="s">
        <v>30</v>
      </c>
      <c r="K102" s="8">
        <f t="shared" si="3"/>
        <v>1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30</v>
      </c>
      <c r="R102" t="s">
        <v>30</v>
      </c>
    </row>
    <row r="103" spans="1:18" x14ac:dyDescent="0.3">
      <c r="A103" t="s">
        <v>164</v>
      </c>
      <c r="B103" t="s">
        <v>16</v>
      </c>
      <c r="C103" t="s">
        <v>16</v>
      </c>
      <c r="D103" t="s">
        <v>16</v>
      </c>
      <c r="E103" t="s">
        <v>16</v>
      </c>
      <c r="F103" t="s">
        <v>16</v>
      </c>
      <c r="G103" t="s">
        <v>16</v>
      </c>
      <c r="H103" t="s">
        <v>16</v>
      </c>
      <c r="I103" t="s">
        <v>16</v>
      </c>
      <c r="J103" t="s">
        <v>16</v>
      </c>
      <c r="K103" s="8">
        <f t="shared" si="3"/>
        <v>1</v>
      </c>
      <c r="L103" t="s">
        <v>16</v>
      </c>
      <c r="M103" t="s">
        <v>16</v>
      </c>
      <c r="N103" t="s">
        <v>16</v>
      </c>
      <c r="O103" t="s">
        <v>16</v>
      </c>
      <c r="P103" t="s">
        <v>16</v>
      </c>
      <c r="Q103" t="s">
        <v>16</v>
      </c>
      <c r="R103" t="s">
        <v>16</v>
      </c>
    </row>
    <row r="104" spans="1:18" x14ac:dyDescent="0.3">
      <c r="A104" t="s">
        <v>163</v>
      </c>
      <c r="B104" t="s">
        <v>30</v>
      </c>
      <c r="C104" t="s">
        <v>30</v>
      </c>
      <c r="D104" t="s">
        <v>30</v>
      </c>
      <c r="E104" t="s">
        <v>30</v>
      </c>
      <c r="F104" t="s">
        <v>30</v>
      </c>
      <c r="G104" t="s">
        <v>30</v>
      </c>
      <c r="H104" t="s">
        <v>30</v>
      </c>
      <c r="I104" t="s">
        <v>30</v>
      </c>
      <c r="J104" t="s">
        <v>30</v>
      </c>
      <c r="K104" s="8">
        <f t="shared" si="3"/>
        <v>1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30</v>
      </c>
      <c r="R104" t="s">
        <v>30</v>
      </c>
    </row>
    <row r="105" spans="1:18" x14ac:dyDescent="0.3">
      <c r="A105" t="s">
        <v>162</v>
      </c>
      <c r="B105" t="s">
        <v>30</v>
      </c>
      <c r="C105" t="s">
        <v>30</v>
      </c>
      <c r="D105" t="s">
        <v>30</v>
      </c>
      <c r="E105" t="s">
        <v>30</v>
      </c>
      <c r="F105" t="s">
        <v>30</v>
      </c>
      <c r="G105" t="s">
        <v>30</v>
      </c>
      <c r="H105" t="s">
        <v>30</v>
      </c>
      <c r="I105" t="s">
        <v>30</v>
      </c>
      <c r="J105" t="s">
        <v>30</v>
      </c>
      <c r="K105" s="8">
        <f t="shared" si="3"/>
        <v>1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30</v>
      </c>
      <c r="R105" t="s">
        <v>30</v>
      </c>
    </row>
    <row r="106" spans="1:18" x14ac:dyDescent="0.3">
      <c r="A106" t="s">
        <v>161</v>
      </c>
      <c r="B106" t="s">
        <v>30</v>
      </c>
      <c r="C106" t="s">
        <v>30</v>
      </c>
      <c r="D106" t="s">
        <v>30</v>
      </c>
      <c r="E106" t="s">
        <v>30</v>
      </c>
      <c r="F106" t="s">
        <v>30</v>
      </c>
      <c r="G106" t="s">
        <v>30</v>
      </c>
      <c r="H106" t="s">
        <v>30</v>
      </c>
      <c r="I106" t="s">
        <v>30</v>
      </c>
      <c r="J106" t="s">
        <v>30</v>
      </c>
      <c r="K106" s="8">
        <f t="shared" si="3"/>
        <v>1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30</v>
      </c>
      <c r="R106" t="s">
        <v>30</v>
      </c>
    </row>
    <row r="107" spans="1:18" x14ac:dyDescent="0.3">
      <c r="A107" t="s">
        <v>160</v>
      </c>
      <c r="B107" t="s">
        <v>30</v>
      </c>
      <c r="C107" t="s">
        <v>30</v>
      </c>
      <c r="D107" t="s">
        <v>30</v>
      </c>
      <c r="E107" t="s">
        <v>30</v>
      </c>
      <c r="F107" t="s">
        <v>30</v>
      </c>
      <c r="G107" t="s">
        <v>30</v>
      </c>
      <c r="H107" t="s">
        <v>30</v>
      </c>
      <c r="I107" t="s">
        <v>30</v>
      </c>
      <c r="J107" t="s">
        <v>30</v>
      </c>
      <c r="K107" s="8">
        <f t="shared" si="3"/>
        <v>1</v>
      </c>
      <c r="L107" t="s">
        <v>30</v>
      </c>
      <c r="M107" t="s">
        <v>30</v>
      </c>
      <c r="N107" t="s">
        <v>30</v>
      </c>
      <c r="O107" t="s">
        <v>30</v>
      </c>
      <c r="P107" t="s">
        <v>30</v>
      </c>
      <c r="Q107" t="s">
        <v>30</v>
      </c>
      <c r="R107" t="s">
        <v>30</v>
      </c>
    </row>
    <row r="108" spans="1:18" x14ac:dyDescent="0.3">
      <c r="A108" t="s">
        <v>159</v>
      </c>
      <c r="B108" t="s">
        <v>30</v>
      </c>
      <c r="C108" t="s">
        <v>30</v>
      </c>
      <c r="D108" t="s">
        <v>30</v>
      </c>
      <c r="E108" t="s">
        <v>30</v>
      </c>
      <c r="F108" t="s">
        <v>30</v>
      </c>
      <c r="G108" t="s">
        <v>30</v>
      </c>
      <c r="H108" t="s">
        <v>30</v>
      </c>
      <c r="I108" t="s">
        <v>30</v>
      </c>
      <c r="J108" t="s">
        <v>30</v>
      </c>
      <c r="K108" s="8">
        <f t="shared" si="3"/>
        <v>1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30</v>
      </c>
      <c r="R108" t="s">
        <v>30</v>
      </c>
    </row>
    <row r="109" spans="1:18" x14ac:dyDescent="0.3">
      <c r="A109" t="s">
        <v>158</v>
      </c>
      <c r="B109" t="s">
        <v>30</v>
      </c>
      <c r="C109" t="s">
        <v>30</v>
      </c>
      <c r="D109" t="s">
        <v>30</v>
      </c>
      <c r="E109" t="s">
        <v>30</v>
      </c>
      <c r="F109" t="s">
        <v>30</v>
      </c>
      <c r="G109" t="s">
        <v>30</v>
      </c>
      <c r="H109" t="s">
        <v>30</v>
      </c>
      <c r="I109" t="s">
        <v>30</v>
      </c>
      <c r="J109" t="s">
        <v>30</v>
      </c>
      <c r="K109" s="8">
        <f t="shared" si="3"/>
        <v>1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30</v>
      </c>
      <c r="R109" t="s">
        <v>30</v>
      </c>
    </row>
    <row r="110" spans="1:18" x14ac:dyDescent="0.3">
      <c r="A110" t="s">
        <v>157</v>
      </c>
      <c r="B110" t="s">
        <v>30</v>
      </c>
      <c r="C110" t="s">
        <v>30</v>
      </c>
      <c r="D110" t="s">
        <v>30</v>
      </c>
      <c r="E110" t="s">
        <v>30</v>
      </c>
      <c r="F110" t="s">
        <v>30</v>
      </c>
      <c r="G110" t="s">
        <v>30</v>
      </c>
      <c r="H110" t="s">
        <v>30</v>
      </c>
      <c r="I110" t="s">
        <v>30</v>
      </c>
      <c r="J110" t="s">
        <v>30</v>
      </c>
      <c r="K110" s="8">
        <f t="shared" si="3"/>
        <v>1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30</v>
      </c>
      <c r="R110" t="s">
        <v>30</v>
      </c>
    </row>
    <row r="111" spans="1:18" x14ac:dyDescent="0.3">
      <c r="A111" t="s">
        <v>156</v>
      </c>
      <c r="B111" t="s">
        <v>37</v>
      </c>
      <c r="C111" t="s">
        <v>37</v>
      </c>
      <c r="D111" t="s">
        <v>37</v>
      </c>
      <c r="E111" t="s">
        <v>37</v>
      </c>
      <c r="F111" t="s">
        <v>37</v>
      </c>
      <c r="G111" t="s">
        <v>37</v>
      </c>
      <c r="H111" t="s">
        <v>37</v>
      </c>
      <c r="I111" t="s">
        <v>37</v>
      </c>
      <c r="J111" t="s">
        <v>37</v>
      </c>
      <c r="K111" s="8">
        <f t="shared" si="3"/>
        <v>1</v>
      </c>
      <c r="L111" t="s">
        <v>37</v>
      </c>
      <c r="M111" t="s">
        <v>37</v>
      </c>
      <c r="N111" t="s">
        <v>37</v>
      </c>
      <c r="O111" t="s">
        <v>37</v>
      </c>
      <c r="P111" t="s">
        <v>37</v>
      </c>
      <c r="Q111" t="s">
        <v>37</v>
      </c>
      <c r="R111" t="s">
        <v>37</v>
      </c>
    </row>
    <row r="112" spans="1:18" x14ac:dyDescent="0.3">
      <c r="A112" t="s">
        <v>155</v>
      </c>
      <c r="B112" t="s">
        <v>30</v>
      </c>
      <c r="C112" t="s">
        <v>30</v>
      </c>
      <c r="D112" t="s">
        <v>30</v>
      </c>
      <c r="E112" t="s">
        <v>30</v>
      </c>
      <c r="F112" t="s">
        <v>30</v>
      </c>
      <c r="G112" t="s">
        <v>30</v>
      </c>
      <c r="H112" t="s">
        <v>30</v>
      </c>
      <c r="I112" t="s">
        <v>30</v>
      </c>
      <c r="J112" t="s">
        <v>30</v>
      </c>
      <c r="K112" s="8">
        <f t="shared" si="3"/>
        <v>1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30</v>
      </c>
      <c r="R112" t="s">
        <v>30</v>
      </c>
    </row>
    <row r="113" spans="1:18" x14ac:dyDescent="0.3">
      <c r="A113" t="s">
        <v>154</v>
      </c>
      <c r="B113" t="s">
        <v>30</v>
      </c>
      <c r="C113" t="s">
        <v>30</v>
      </c>
      <c r="D113" t="s">
        <v>30</v>
      </c>
      <c r="E113" t="s">
        <v>30</v>
      </c>
      <c r="F113" t="s">
        <v>30</v>
      </c>
      <c r="G113" t="s">
        <v>30</v>
      </c>
      <c r="H113" t="s">
        <v>30</v>
      </c>
      <c r="I113" t="s">
        <v>30</v>
      </c>
      <c r="J113" t="s">
        <v>30</v>
      </c>
      <c r="K113" s="8">
        <f t="shared" si="3"/>
        <v>1</v>
      </c>
      <c r="L113" t="s">
        <v>30</v>
      </c>
      <c r="M113" t="s">
        <v>30</v>
      </c>
      <c r="N113" t="s">
        <v>30</v>
      </c>
      <c r="O113" t="s">
        <v>30</v>
      </c>
      <c r="P113" t="s">
        <v>30</v>
      </c>
      <c r="Q113" t="s">
        <v>30</v>
      </c>
      <c r="R113" t="s">
        <v>30</v>
      </c>
    </row>
    <row r="114" spans="1:18" x14ac:dyDescent="0.3">
      <c r="A114" t="s">
        <v>153</v>
      </c>
      <c r="B114" t="s">
        <v>37</v>
      </c>
      <c r="C114" t="s">
        <v>37</v>
      </c>
      <c r="D114" t="s">
        <v>37</v>
      </c>
      <c r="E114" t="s">
        <v>37</v>
      </c>
      <c r="F114" t="s">
        <v>37</v>
      </c>
      <c r="G114" t="s">
        <v>37</v>
      </c>
      <c r="H114" t="s">
        <v>37</v>
      </c>
      <c r="I114" t="s">
        <v>37</v>
      </c>
      <c r="J114" t="s">
        <v>37</v>
      </c>
      <c r="K114" s="8">
        <f t="shared" si="3"/>
        <v>1</v>
      </c>
      <c r="L114" t="s">
        <v>37</v>
      </c>
      <c r="M114" t="s">
        <v>37</v>
      </c>
      <c r="N114" t="s">
        <v>37</v>
      </c>
      <c r="O114" t="s">
        <v>37</v>
      </c>
      <c r="P114" t="s">
        <v>37</v>
      </c>
      <c r="Q114" t="s">
        <v>37</v>
      </c>
      <c r="R114" t="s">
        <v>37</v>
      </c>
    </row>
    <row r="115" spans="1:18" x14ac:dyDescent="0.3">
      <c r="A115" t="s">
        <v>152</v>
      </c>
      <c r="B115" t="s">
        <v>37</v>
      </c>
      <c r="C115" t="s">
        <v>37</v>
      </c>
      <c r="D115" t="s">
        <v>37</v>
      </c>
      <c r="E115" t="s">
        <v>37</v>
      </c>
      <c r="F115" t="s">
        <v>37</v>
      </c>
      <c r="G115" t="s">
        <v>37</v>
      </c>
      <c r="H115" t="s">
        <v>37</v>
      </c>
      <c r="I115" t="s">
        <v>37</v>
      </c>
      <c r="J115" t="s">
        <v>37</v>
      </c>
      <c r="K115" s="8">
        <f t="shared" si="3"/>
        <v>1</v>
      </c>
      <c r="L115" t="s">
        <v>37</v>
      </c>
      <c r="M115" t="s">
        <v>37</v>
      </c>
      <c r="N115" t="s">
        <v>37</v>
      </c>
      <c r="O115" t="s">
        <v>37</v>
      </c>
      <c r="P115" t="s">
        <v>37</v>
      </c>
      <c r="Q115" t="s">
        <v>37</v>
      </c>
      <c r="R115" t="s">
        <v>37</v>
      </c>
    </row>
    <row r="116" spans="1:18" x14ac:dyDescent="0.3">
      <c r="A116" t="s">
        <v>151</v>
      </c>
      <c r="B116" t="s">
        <v>44</v>
      </c>
      <c r="C116" t="s">
        <v>44</v>
      </c>
      <c r="D116" t="s">
        <v>44</v>
      </c>
      <c r="E116" t="s">
        <v>44</v>
      </c>
      <c r="F116" t="s">
        <v>44</v>
      </c>
      <c r="G116" t="s">
        <v>44</v>
      </c>
      <c r="H116" t="s">
        <v>44</v>
      </c>
      <c r="I116" t="s">
        <v>44</v>
      </c>
      <c r="J116" t="s">
        <v>44</v>
      </c>
      <c r="K116" s="8">
        <f t="shared" si="3"/>
        <v>1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</row>
    <row r="117" spans="1:18" x14ac:dyDescent="0.3">
      <c r="A117" t="s">
        <v>150</v>
      </c>
      <c r="B117" t="s">
        <v>16</v>
      </c>
      <c r="C117" t="s">
        <v>16</v>
      </c>
      <c r="D117" t="s">
        <v>16</v>
      </c>
      <c r="E117" t="s">
        <v>16</v>
      </c>
      <c r="F117" t="s">
        <v>16</v>
      </c>
      <c r="G117" t="s">
        <v>16</v>
      </c>
      <c r="H117" t="s">
        <v>16</v>
      </c>
      <c r="I117" t="s">
        <v>16</v>
      </c>
      <c r="J117" t="s">
        <v>16</v>
      </c>
      <c r="K117" s="8">
        <f t="shared" si="3"/>
        <v>1</v>
      </c>
      <c r="L117" t="s">
        <v>16</v>
      </c>
      <c r="M117" t="s">
        <v>16</v>
      </c>
      <c r="N117" t="s">
        <v>16</v>
      </c>
      <c r="O117" t="s">
        <v>16</v>
      </c>
      <c r="P117" t="s">
        <v>16</v>
      </c>
      <c r="Q117" t="s">
        <v>16</v>
      </c>
      <c r="R117" t="s">
        <v>16</v>
      </c>
    </row>
    <row r="118" spans="1:18" x14ac:dyDescent="0.3">
      <c r="A118" t="s">
        <v>149</v>
      </c>
      <c r="B118" t="s">
        <v>30</v>
      </c>
      <c r="C118" t="s">
        <v>30</v>
      </c>
      <c r="D118" t="s">
        <v>30</v>
      </c>
      <c r="E118" t="s">
        <v>30</v>
      </c>
      <c r="F118" t="s">
        <v>30</v>
      </c>
      <c r="G118" t="s">
        <v>30</v>
      </c>
      <c r="H118" t="s">
        <v>30</v>
      </c>
      <c r="I118" t="s">
        <v>30</v>
      </c>
      <c r="J118" t="s">
        <v>30</v>
      </c>
      <c r="K118" s="8">
        <f t="shared" si="3"/>
        <v>1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30</v>
      </c>
      <c r="R118" t="s">
        <v>30</v>
      </c>
    </row>
    <row r="119" spans="1:18" x14ac:dyDescent="0.3">
      <c r="A119" t="s">
        <v>148</v>
      </c>
      <c r="B119" t="s">
        <v>16</v>
      </c>
      <c r="C119" t="s">
        <v>16</v>
      </c>
      <c r="D119" t="s">
        <v>16</v>
      </c>
      <c r="E119" t="s">
        <v>16</v>
      </c>
      <c r="F119" t="s">
        <v>16</v>
      </c>
      <c r="G119" t="s">
        <v>16</v>
      </c>
      <c r="H119" t="s">
        <v>16</v>
      </c>
      <c r="I119" t="s">
        <v>16</v>
      </c>
      <c r="J119" t="s">
        <v>16</v>
      </c>
      <c r="K119" s="8">
        <f t="shared" si="3"/>
        <v>1</v>
      </c>
      <c r="L119" t="s">
        <v>16</v>
      </c>
      <c r="M119" t="s">
        <v>16</v>
      </c>
      <c r="N119" t="s">
        <v>16</v>
      </c>
      <c r="O119" t="s">
        <v>16</v>
      </c>
      <c r="P119" t="s">
        <v>16</v>
      </c>
      <c r="Q119" t="s">
        <v>16</v>
      </c>
      <c r="R119" t="s">
        <v>16</v>
      </c>
    </row>
    <row r="120" spans="1:18" x14ac:dyDescent="0.3">
      <c r="A120" t="s">
        <v>147</v>
      </c>
      <c r="B120" t="s">
        <v>30</v>
      </c>
      <c r="C120" t="s">
        <v>30</v>
      </c>
      <c r="D120" t="s">
        <v>30</v>
      </c>
      <c r="E120" t="s">
        <v>30</v>
      </c>
      <c r="F120" t="s">
        <v>30</v>
      </c>
      <c r="G120" t="s">
        <v>30</v>
      </c>
      <c r="H120" t="s">
        <v>30</v>
      </c>
      <c r="I120" t="s">
        <v>30</v>
      </c>
      <c r="J120" t="s">
        <v>30</v>
      </c>
      <c r="K120" s="8">
        <f t="shared" si="3"/>
        <v>1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30</v>
      </c>
      <c r="R120" t="s">
        <v>30</v>
      </c>
    </row>
    <row r="121" spans="1:18" x14ac:dyDescent="0.3">
      <c r="A121" t="s">
        <v>146</v>
      </c>
      <c r="B121" t="s">
        <v>30</v>
      </c>
      <c r="C121" t="s">
        <v>30</v>
      </c>
      <c r="D121" t="s">
        <v>30</v>
      </c>
      <c r="E121" t="s">
        <v>30</v>
      </c>
      <c r="F121" t="s">
        <v>30</v>
      </c>
      <c r="G121" t="s">
        <v>30</v>
      </c>
      <c r="H121" t="s">
        <v>30</v>
      </c>
      <c r="I121" t="s">
        <v>30</v>
      </c>
      <c r="J121" t="s">
        <v>30</v>
      </c>
      <c r="K121" s="8">
        <f t="shared" si="3"/>
        <v>1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30</v>
      </c>
      <c r="R121" t="s">
        <v>30</v>
      </c>
    </row>
    <row r="122" spans="1:18" x14ac:dyDescent="0.3">
      <c r="C122" cm="1">
        <f t="array" ref="C122">SUMPRODUCT(--($B2:$B121=C2:C121))</f>
        <v>120</v>
      </c>
      <c r="D122" cm="1">
        <f t="array" ref="D122">SUMPRODUCT(--($B2:$B121=D2:D121))</f>
        <v>74</v>
      </c>
      <c r="E122" cm="1">
        <f t="array" ref="E122">SUMPRODUCT(--($B2:$B121=E2:E121))</f>
        <v>114</v>
      </c>
      <c r="F122" cm="1">
        <f t="array" ref="F122">SUMPRODUCT(--($B2:$B121=F2:F121))</f>
        <v>104</v>
      </c>
      <c r="G122" cm="1">
        <f t="array" ref="G122">SUMPRODUCT(--($B2:$B121=G2:G121))</f>
        <v>98</v>
      </c>
      <c r="H122" cm="1">
        <f t="array" ref="H122">SUMPRODUCT(--($B2:$B121=H2:H121))</f>
        <v>87</v>
      </c>
      <c r="I122" cm="1">
        <f t="array" ref="I122">SUMPRODUCT(--($B2:$B121=I2:I121))</f>
        <v>90</v>
      </c>
      <c r="J122" cm="1">
        <f t="array" ref="J122">SUMPRODUCT(--($B2:$B121=J2:J121))</f>
        <v>83</v>
      </c>
    </row>
    <row r="123" spans="1:18" x14ac:dyDescent="0.3">
      <c r="C123" s="10">
        <f t="shared" ref="C123:J123" si="4">C122/$C$122</f>
        <v>1</v>
      </c>
      <c r="D123" s="10">
        <f t="shared" si="4"/>
        <v>0.6166666666666667</v>
      </c>
      <c r="E123" s="10">
        <f t="shared" si="4"/>
        <v>0.95</v>
      </c>
      <c r="F123" s="10">
        <f t="shared" si="4"/>
        <v>0.8666666666666667</v>
      </c>
      <c r="G123" s="10">
        <f t="shared" si="4"/>
        <v>0.81666666666666665</v>
      </c>
      <c r="H123" s="10">
        <f t="shared" si="4"/>
        <v>0.72499999999999998</v>
      </c>
      <c r="I123" s="10">
        <f t="shared" si="4"/>
        <v>0.75</v>
      </c>
      <c r="J123" s="10">
        <f t="shared" si="4"/>
        <v>0.69166666666666665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B94B6-FC6D-4BE0-9805-4A7E54AFC657}">
  <dimension ref="A1:R123"/>
  <sheetViews>
    <sheetView zoomScale="85" zoomScaleNormal="85" workbookViewId="0">
      <selection activeCell="C8" sqref="C8"/>
    </sheetView>
  </sheetViews>
  <sheetFormatPr defaultColWidth="20.765625" defaultRowHeight="14.15" x14ac:dyDescent="0.3"/>
  <cols>
    <col min="11" max="11" width="20.765625" style="2"/>
  </cols>
  <sheetData>
    <row r="1" spans="1:18" x14ac:dyDescent="0.3">
      <c r="A1" s="3" t="s">
        <v>0</v>
      </c>
      <c r="B1" s="3" t="s">
        <v>145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136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</row>
    <row r="2" spans="1:18" s="5" customFormat="1" x14ac:dyDescent="0.3">
      <c r="A2" s="5" t="s">
        <v>309</v>
      </c>
      <c r="B2" s="5" t="s">
        <v>300</v>
      </c>
      <c r="C2" s="5" t="s">
        <v>37</v>
      </c>
      <c r="D2" s="5" t="s">
        <v>308</v>
      </c>
      <c r="E2" s="5" t="s">
        <v>37</v>
      </c>
      <c r="F2" s="5" t="s">
        <v>37</v>
      </c>
      <c r="G2" s="5" t="s">
        <v>37</v>
      </c>
      <c r="H2" s="5" t="s">
        <v>179</v>
      </c>
      <c r="I2" s="5" t="s">
        <v>37</v>
      </c>
      <c r="J2" s="5" t="s">
        <v>37</v>
      </c>
      <c r="K2" s="6">
        <f t="shared" ref="K2:K33" si="0">IF(AND(B2=C2,C2=D2,D2=E2,E2=F2,F2=G2,G2=H2,H2=I2,I2=J2), 1, 0)</f>
        <v>0</v>
      </c>
      <c r="L2" s="5" t="s">
        <v>308</v>
      </c>
      <c r="M2" s="5" t="s">
        <v>37</v>
      </c>
      <c r="N2" s="5" t="s">
        <v>37</v>
      </c>
      <c r="O2" s="5" t="s">
        <v>37</v>
      </c>
      <c r="P2" s="5" t="s">
        <v>179</v>
      </c>
      <c r="Q2" s="5" t="s">
        <v>37</v>
      </c>
      <c r="R2" s="5" t="s">
        <v>37</v>
      </c>
    </row>
    <row r="3" spans="1:18" s="5" customFormat="1" x14ac:dyDescent="0.3">
      <c r="A3" s="5" t="s">
        <v>312</v>
      </c>
      <c r="B3" s="5" t="s">
        <v>30</v>
      </c>
      <c r="C3" s="5" t="s">
        <v>30</v>
      </c>
      <c r="D3" s="5" t="s">
        <v>55</v>
      </c>
      <c r="E3" s="5" t="s">
        <v>307</v>
      </c>
      <c r="F3" s="5" t="s">
        <v>55</v>
      </c>
      <c r="G3" s="5" t="s">
        <v>55</v>
      </c>
      <c r="H3" s="5" t="s">
        <v>55</v>
      </c>
      <c r="I3" s="5" t="s">
        <v>55</v>
      </c>
      <c r="J3" s="5" t="s">
        <v>55</v>
      </c>
      <c r="K3" s="6">
        <f t="shared" si="0"/>
        <v>0</v>
      </c>
      <c r="L3" s="5" t="s">
        <v>55</v>
      </c>
      <c r="M3" s="5" t="s">
        <v>307</v>
      </c>
      <c r="N3" s="5" t="s">
        <v>55</v>
      </c>
      <c r="O3" s="5" t="s">
        <v>55</v>
      </c>
      <c r="P3" s="5" t="s">
        <v>55</v>
      </c>
      <c r="Q3" s="5" t="s">
        <v>55</v>
      </c>
      <c r="R3" s="5" t="s">
        <v>55</v>
      </c>
    </row>
    <row r="4" spans="1:18" s="5" customFormat="1" x14ac:dyDescent="0.3">
      <c r="A4" s="5" t="s">
        <v>313</v>
      </c>
      <c r="B4" s="5" t="s">
        <v>37</v>
      </c>
      <c r="C4" s="5" t="s">
        <v>37</v>
      </c>
      <c r="D4" s="5" t="s">
        <v>30</v>
      </c>
      <c r="E4" s="5" t="s">
        <v>179</v>
      </c>
      <c r="F4" s="5" t="s">
        <v>30</v>
      </c>
      <c r="G4" s="5" t="s">
        <v>55</v>
      </c>
      <c r="H4" s="5" t="s">
        <v>30</v>
      </c>
      <c r="I4" s="5" t="s">
        <v>30</v>
      </c>
      <c r="J4" s="5" t="s">
        <v>37</v>
      </c>
      <c r="K4" s="6">
        <f t="shared" si="0"/>
        <v>0</v>
      </c>
      <c r="L4" s="5" t="s">
        <v>30</v>
      </c>
      <c r="M4" s="5" t="s">
        <v>179</v>
      </c>
      <c r="N4" s="5" t="s">
        <v>30</v>
      </c>
      <c r="O4" s="5" t="s">
        <v>55</v>
      </c>
      <c r="P4" s="5" t="s">
        <v>30</v>
      </c>
      <c r="Q4" s="5" t="s">
        <v>30</v>
      </c>
      <c r="R4" s="5" t="s">
        <v>37</v>
      </c>
    </row>
    <row r="5" spans="1:18" s="5" customFormat="1" x14ac:dyDescent="0.3">
      <c r="A5" s="5" t="s">
        <v>314</v>
      </c>
      <c r="B5" s="5" t="s">
        <v>44</v>
      </c>
      <c r="C5" s="5" t="s">
        <v>44</v>
      </c>
      <c r="D5" s="5" t="s">
        <v>56</v>
      </c>
      <c r="E5" s="5" t="s">
        <v>44</v>
      </c>
      <c r="F5" s="5" t="s">
        <v>44</v>
      </c>
      <c r="G5" s="5" t="s">
        <v>37</v>
      </c>
      <c r="H5" s="5" t="s">
        <v>44</v>
      </c>
      <c r="I5" s="5" t="s">
        <v>37</v>
      </c>
      <c r="J5" s="5" t="s">
        <v>37</v>
      </c>
      <c r="K5" s="6">
        <f t="shared" si="0"/>
        <v>0</v>
      </c>
      <c r="L5" s="5" t="s">
        <v>56</v>
      </c>
      <c r="M5" s="5" t="s">
        <v>44</v>
      </c>
      <c r="N5" s="5" t="s">
        <v>44</v>
      </c>
      <c r="O5" s="5" t="s">
        <v>37</v>
      </c>
      <c r="P5" s="5" t="s">
        <v>44</v>
      </c>
      <c r="Q5" s="5" t="s">
        <v>37</v>
      </c>
      <c r="R5" s="5" t="s">
        <v>37</v>
      </c>
    </row>
    <row r="6" spans="1:18" s="5" customFormat="1" x14ac:dyDescent="0.3">
      <c r="A6" s="5" t="s">
        <v>315</v>
      </c>
      <c r="B6" s="5" t="s">
        <v>44</v>
      </c>
      <c r="C6" s="5" t="s">
        <v>44</v>
      </c>
      <c r="D6" s="5" t="s">
        <v>30</v>
      </c>
      <c r="E6" s="5" t="s">
        <v>44</v>
      </c>
      <c r="F6" s="5" t="s">
        <v>30</v>
      </c>
      <c r="G6" s="5" t="s">
        <v>30</v>
      </c>
      <c r="H6" s="5" t="s">
        <v>56</v>
      </c>
      <c r="I6" s="5" t="s">
        <v>56</v>
      </c>
      <c r="J6" s="5" t="s">
        <v>179</v>
      </c>
      <c r="K6" s="6">
        <f t="shared" si="0"/>
        <v>0</v>
      </c>
      <c r="L6" s="5" t="s">
        <v>30</v>
      </c>
      <c r="M6" s="5" t="s">
        <v>44</v>
      </c>
      <c r="N6" s="5" t="s">
        <v>30</v>
      </c>
      <c r="O6" s="5" t="s">
        <v>30</v>
      </c>
      <c r="P6" s="5" t="s">
        <v>56</v>
      </c>
      <c r="Q6" s="5" t="s">
        <v>56</v>
      </c>
      <c r="R6" s="5" t="s">
        <v>179</v>
      </c>
    </row>
    <row r="7" spans="1:18" s="5" customFormat="1" x14ac:dyDescent="0.3">
      <c r="A7" s="5" t="s">
        <v>316</v>
      </c>
      <c r="B7" s="5" t="s">
        <v>37</v>
      </c>
      <c r="C7" s="5" t="s">
        <v>37</v>
      </c>
      <c r="D7" s="5" t="s">
        <v>37</v>
      </c>
      <c r="E7" s="5" t="s">
        <v>37</v>
      </c>
      <c r="F7" s="5" t="s">
        <v>37</v>
      </c>
      <c r="G7" s="5" t="s">
        <v>37</v>
      </c>
      <c r="H7" s="5" t="s">
        <v>55</v>
      </c>
      <c r="I7" s="5" t="s">
        <v>55</v>
      </c>
      <c r="J7" s="5" t="s">
        <v>30</v>
      </c>
      <c r="K7" s="6">
        <f t="shared" si="0"/>
        <v>0</v>
      </c>
      <c r="L7" s="5" t="s">
        <v>37</v>
      </c>
      <c r="M7" s="5" t="s">
        <v>37</v>
      </c>
      <c r="N7" s="5" t="s">
        <v>37</v>
      </c>
      <c r="O7" s="5" t="s">
        <v>37</v>
      </c>
      <c r="P7" s="5" t="s">
        <v>55</v>
      </c>
      <c r="Q7" s="5" t="s">
        <v>55</v>
      </c>
      <c r="R7" s="5" t="s">
        <v>30</v>
      </c>
    </row>
    <row r="8" spans="1:18" s="5" customFormat="1" x14ac:dyDescent="0.3">
      <c r="A8" s="5" t="s">
        <v>317</v>
      </c>
      <c r="B8" s="5" t="s">
        <v>179</v>
      </c>
      <c r="C8" s="5" t="s">
        <v>179</v>
      </c>
      <c r="D8" s="5" t="s">
        <v>55</v>
      </c>
      <c r="E8" s="5" t="s">
        <v>56</v>
      </c>
      <c r="F8" s="5" t="s">
        <v>30</v>
      </c>
      <c r="G8" s="5" t="s">
        <v>55</v>
      </c>
      <c r="H8" s="5" t="s">
        <v>30</v>
      </c>
      <c r="I8" s="5" t="s">
        <v>44</v>
      </c>
      <c r="J8" s="5" t="s">
        <v>179</v>
      </c>
      <c r="K8" s="6">
        <f t="shared" si="0"/>
        <v>0</v>
      </c>
      <c r="L8" s="5" t="s">
        <v>55</v>
      </c>
      <c r="M8" s="5" t="s">
        <v>56</v>
      </c>
      <c r="N8" s="5" t="s">
        <v>30</v>
      </c>
      <c r="O8" s="5" t="s">
        <v>55</v>
      </c>
      <c r="P8" s="5" t="s">
        <v>30</v>
      </c>
      <c r="Q8" s="5" t="s">
        <v>44</v>
      </c>
      <c r="R8" s="5" t="s">
        <v>179</v>
      </c>
    </row>
    <row r="9" spans="1:18" s="5" customFormat="1" x14ac:dyDescent="0.3">
      <c r="A9" s="5" t="s">
        <v>318</v>
      </c>
      <c r="B9" s="5" t="s">
        <v>44</v>
      </c>
      <c r="C9" s="5" t="s">
        <v>44</v>
      </c>
      <c r="D9" s="5" t="s">
        <v>44</v>
      </c>
      <c r="E9" s="5" t="s">
        <v>30</v>
      </c>
      <c r="F9" s="5" t="s">
        <v>44</v>
      </c>
      <c r="G9" s="5" t="s">
        <v>30</v>
      </c>
      <c r="H9" s="5" t="s">
        <v>44</v>
      </c>
      <c r="I9" s="5" t="s">
        <v>30</v>
      </c>
      <c r="J9" s="5" t="s">
        <v>30</v>
      </c>
      <c r="K9" s="6">
        <f t="shared" si="0"/>
        <v>0</v>
      </c>
      <c r="L9" s="5" t="s">
        <v>44</v>
      </c>
      <c r="M9" s="5" t="s">
        <v>30</v>
      </c>
      <c r="N9" s="5" t="s">
        <v>44</v>
      </c>
      <c r="O9" s="5" t="s">
        <v>30</v>
      </c>
      <c r="P9" s="5" t="s">
        <v>44</v>
      </c>
      <c r="Q9" s="5" t="s">
        <v>30</v>
      </c>
      <c r="R9" s="5" t="s">
        <v>30</v>
      </c>
    </row>
    <row r="10" spans="1:18" s="5" customFormat="1" x14ac:dyDescent="0.3">
      <c r="A10" s="5" t="s">
        <v>319</v>
      </c>
      <c r="B10" s="5" t="s">
        <v>44</v>
      </c>
      <c r="C10" s="5" t="s">
        <v>44</v>
      </c>
      <c r="D10" s="5" t="s">
        <v>30</v>
      </c>
      <c r="E10" s="5" t="s">
        <v>44</v>
      </c>
      <c r="F10" s="5" t="s">
        <v>44</v>
      </c>
      <c r="G10" s="5" t="s">
        <v>44</v>
      </c>
      <c r="H10" s="5" t="s">
        <v>44</v>
      </c>
      <c r="I10" s="5" t="s">
        <v>44</v>
      </c>
      <c r="J10" s="5" t="s">
        <v>30</v>
      </c>
      <c r="K10" s="6">
        <f t="shared" si="0"/>
        <v>0</v>
      </c>
      <c r="L10" s="5" t="s">
        <v>30</v>
      </c>
      <c r="M10" s="5" t="s">
        <v>44</v>
      </c>
      <c r="N10" s="5" t="s">
        <v>44</v>
      </c>
      <c r="O10" s="5" t="s">
        <v>44</v>
      </c>
      <c r="P10" s="5" t="s">
        <v>44</v>
      </c>
      <c r="Q10" s="5" t="s">
        <v>44</v>
      </c>
      <c r="R10" s="5" t="s">
        <v>30</v>
      </c>
    </row>
    <row r="11" spans="1:18" s="5" customFormat="1" x14ac:dyDescent="0.3">
      <c r="A11" s="5" t="s">
        <v>320</v>
      </c>
      <c r="B11" s="5" t="s">
        <v>44</v>
      </c>
      <c r="C11" s="5" t="s">
        <v>44</v>
      </c>
      <c r="D11" s="5" t="s">
        <v>55</v>
      </c>
      <c r="E11" s="5" t="s">
        <v>44</v>
      </c>
      <c r="F11" s="5" t="s">
        <v>44</v>
      </c>
      <c r="G11" s="5" t="s">
        <v>56</v>
      </c>
      <c r="H11" s="5" t="s">
        <v>56</v>
      </c>
      <c r="I11" s="5" t="s">
        <v>55</v>
      </c>
      <c r="J11" s="5" t="s">
        <v>179</v>
      </c>
      <c r="K11" s="6">
        <f t="shared" si="0"/>
        <v>0</v>
      </c>
      <c r="L11" s="5" t="s">
        <v>55</v>
      </c>
      <c r="M11" s="5" t="s">
        <v>44</v>
      </c>
      <c r="N11" s="5" t="s">
        <v>44</v>
      </c>
      <c r="O11" s="5" t="s">
        <v>56</v>
      </c>
      <c r="P11" s="5" t="s">
        <v>56</v>
      </c>
      <c r="Q11" s="5" t="s">
        <v>55</v>
      </c>
      <c r="R11" s="5" t="s">
        <v>179</v>
      </c>
    </row>
    <row r="12" spans="1:18" s="5" customFormat="1" x14ac:dyDescent="0.3">
      <c r="A12" s="5" t="s">
        <v>321</v>
      </c>
      <c r="B12" s="5" t="s">
        <v>140</v>
      </c>
      <c r="C12" s="5" t="s">
        <v>16</v>
      </c>
      <c r="D12" s="5" t="s">
        <v>55</v>
      </c>
      <c r="E12" s="5" t="s">
        <v>55</v>
      </c>
      <c r="F12" s="5" t="s">
        <v>55</v>
      </c>
      <c r="G12" s="5" t="s">
        <v>55</v>
      </c>
      <c r="H12" s="5" t="s">
        <v>55</v>
      </c>
      <c r="I12" s="5" t="s">
        <v>55</v>
      </c>
      <c r="J12" s="5" t="s">
        <v>16</v>
      </c>
      <c r="K12" s="6">
        <f t="shared" si="0"/>
        <v>0</v>
      </c>
      <c r="L12" s="5" t="s">
        <v>55</v>
      </c>
      <c r="M12" s="5" t="s">
        <v>55</v>
      </c>
      <c r="N12" s="5" t="s">
        <v>55</v>
      </c>
      <c r="O12" s="5" t="s">
        <v>55</v>
      </c>
      <c r="P12" s="5" t="s">
        <v>55</v>
      </c>
      <c r="Q12" s="5" t="s">
        <v>55</v>
      </c>
      <c r="R12" s="5" t="s">
        <v>16</v>
      </c>
    </row>
    <row r="13" spans="1:18" s="5" customFormat="1" x14ac:dyDescent="0.3">
      <c r="A13" s="5" t="s">
        <v>322</v>
      </c>
      <c r="B13" s="5" t="s">
        <v>44</v>
      </c>
      <c r="C13" s="5" t="s">
        <v>44</v>
      </c>
      <c r="D13" s="5" t="s">
        <v>55</v>
      </c>
      <c r="E13" s="5" t="s">
        <v>44</v>
      </c>
      <c r="F13" s="5" t="s">
        <v>179</v>
      </c>
      <c r="G13" s="5" t="s">
        <v>30</v>
      </c>
      <c r="H13" s="5" t="s">
        <v>56</v>
      </c>
      <c r="I13" s="5" t="s">
        <v>56</v>
      </c>
      <c r="J13" s="5" t="s">
        <v>56</v>
      </c>
      <c r="K13" s="6">
        <f t="shared" si="0"/>
        <v>0</v>
      </c>
      <c r="L13" s="5" t="s">
        <v>55</v>
      </c>
      <c r="M13" s="5" t="s">
        <v>44</v>
      </c>
      <c r="N13" s="5" t="s">
        <v>179</v>
      </c>
      <c r="O13" s="5" t="s">
        <v>30</v>
      </c>
      <c r="P13" s="5" t="s">
        <v>56</v>
      </c>
      <c r="Q13" s="5" t="s">
        <v>56</v>
      </c>
      <c r="R13" s="5" t="s">
        <v>56</v>
      </c>
    </row>
    <row r="14" spans="1:18" s="5" customFormat="1" x14ac:dyDescent="0.3">
      <c r="A14" s="5" t="s">
        <v>323</v>
      </c>
      <c r="B14" s="5" t="s">
        <v>30</v>
      </c>
      <c r="C14" s="5" t="s">
        <v>30</v>
      </c>
      <c r="D14" s="5" t="s">
        <v>55</v>
      </c>
      <c r="E14" s="5" t="s">
        <v>179</v>
      </c>
      <c r="F14" s="5" t="s">
        <v>30</v>
      </c>
      <c r="G14" s="5" t="s">
        <v>55</v>
      </c>
      <c r="H14" s="5" t="s">
        <v>55</v>
      </c>
      <c r="I14" s="5" t="s">
        <v>55</v>
      </c>
      <c r="J14" s="5" t="s">
        <v>55</v>
      </c>
      <c r="K14" s="6">
        <f t="shared" si="0"/>
        <v>0</v>
      </c>
      <c r="L14" s="5" t="s">
        <v>55</v>
      </c>
      <c r="M14" s="5" t="s">
        <v>179</v>
      </c>
      <c r="N14" s="5" t="s">
        <v>30</v>
      </c>
      <c r="O14" s="5" t="s">
        <v>55</v>
      </c>
      <c r="P14" s="5" t="s">
        <v>55</v>
      </c>
      <c r="Q14" s="5" t="s">
        <v>55</v>
      </c>
      <c r="R14" s="5" t="s">
        <v>55</v>
      </c>
    </row>
    <row r="15" spans="1:18" s="5" customFormat="1" x14ac:dyDescent="0.3">
      <c r="A15" s="5" t="s">
        <v>324</v>
      </c>
      <c r="B15" s="5" t="s">
        <v>44</v>
      </c>
      <c r="C15" s="5" t="s">
        <v>44</v>
      </c>
      <c r="D15" s="5" t="s">
        <v>44</v>
      </c>
      <c r="E15" s="5" t="s">
        <v>44</v>
      </c>
      <c r="F15" s="5" t="s">
        <v>44</v>
      </c>
      <c r="G15" s="5" t="s">
        <v>44</v>
      </c>
      <c r="H15" s="5" t="s">
        <v>44</v>
      </c>
      <c r="I15" s="5" t="s">
        <v>56</v>
      </c>
      <c r="J15" s="5" t="s">
        <v>37</v>
      </c>
      <c r="K15" s="6">
        <f t="shared" si="0"/>
        <v>0</v>
      </c>
      <c r="L15" s="5" t="s">
        <v>44</v>
      </c>
      <c r="M15" s="5" t="s">
        <v>44</v>
      </c>
      <c r="N15" s="5" t="s">
        <v>44</v>
      </c>
      <c r="O15" s="5" t="s">
        <v>44</v>
      </c>
      <c r="P15" s="5" t="s">
        <v>44</v>
      </c>
      <c r="Q15" s="5" t="s">
        <v>56</v>
      </c>
      <c r="R15" s="5" t="s">
        <v>37</v>
      </c>
    </row>
    <row r="16" spans="1:18" s="5" customFormat="1" x14ac:dyDescent="0.3">
      <c r="A16" s="5" t="s">
        <v>325</v>
      </c>
      <c r="B16" s="5" t="s">
        <v>44</v>
      </c>
      <c r="C16" s="5" t="s">
        <v>44</v>
      </c>
      <c r="D16" s="5" t="s">
        <v>55</v>
      </c>
      <c r="E16" s="5" t="s">
        <v>56</v>
      </c>
      <c r="F16" s="5" t="s">
        <v>44</v>
      </c>
      <c r="G16" s="5" t="s">
        <v>44</v>
      </c>
      <c r="H16" s="5" t="s">
        <v>56</v>
      </c>
      <c r="I16" s="5" t="s">
        <v>56</v>
      </c>
      <c r="J16" s="5" t="s">
        <v>37</v>
      </c>
      <c r="K16" s="6">
        <f t="shared" si="0"/>
        <v>0</v>
      </c>
      <c r="L16" s="5" t="s">
        <v>55</v>
      </c>
      <c r="M16" s="5" t="s">
        <v>56</v>
      </c>
      <c r="N16" s="5" t="s">
        <v>44</v>
      </c>
      <c r="O16" s="5" t="s">
        <v>44</v>
      </c>
      <c r="P16" s="5" t="s">
        <v>56</v>
      </c>
      <c r="Q16" s="5" t="s">
        <v>56</v>
      </c>
      <c r="R16" s="5" t="s">
        <v>37</v>
      </c>
    </row>
    <row r="17" spans="1:18" s="5" customFormat="1" x14ac:dyDescent="0.3">
      <c r="A17" s="5" t="s">
        <v>326</v>
      </c>
      <c r="B17" s="5" t="s">
        <v>30</v>
      </c>
      <c r="C17" s="5" t="s">
        <v>30</v>
      </c>
      <c r="D17" s="5" t="s">
        <v>55</v>
      </c>
      <c r="E17" s="5" t="s">
        <v>56</v>
      </c>
      <c r="F17" s="5" t="s">
        <v>30</v>
      </c>
      <c r="G17" s="5" t="s">
        <v>56</v>
      </c>
      <c r="H17" s="5" t="s">
        <v>56</v>
      </c>
      <c r="I17" s="5" t="s">
        <v>30</v>
      </c>
      <c r="J17" s="5" t="s">
        <v>30</v>
      </c>
      <c r="K17" s="6">
        <f t="shared" si="0"/>
        <v>0</v>
      </c>
      <c r="L17" s="5" t="s">
        <v>55</v>
      </c>
      <c r="M17" s="5" t="s">
        <v>56</v>
      </c>
      <c r="N17" s="5" t="s">
        <v>30</v>
      </c>
      <c r="O17" s="5" t="s">
        <v>56</v>
      </c>
      <c r="P17" s="5" t="s">
        <v>56</v>
      </c>
      <c r="Q17" s="5" t="s">
        <v>30</v>
      </c>
      <c r="R17" s="5" t="s">
        <v>30</v>
      </c>
    </row>
    <row r="18" spans="1:18" s="5" customFormat="1" x14ac:dyDescent="0.3">
      <c r="A18" s="5" t="s">
        <v>327</v>
      </c>
      <c r="B18" s="5" t="s">
        <v>30</v>
      </c>
      <c r="C18" s="5" t="s">
        <v>30</v>
      </c>
      <c r="D18" s="5" t="s">
        <v>30</v>
      </c>
      <c r="E18" s="5" t="s">
        <v>30</v>
      </c>
      <c r="F18" s="5" t="s">
        <v>30</v>
      </c>
      <c r="G18" s="5" t="s">
        <v>44</v>
      </c>
      <c r="H18" s="5" t="s">
        <v>30</v>
      </c>
      <c r="I18" s="5" t="s">
        <v>30</v>
      </c>
      <c r="J18" s="5" t="s">
        <v>30</v>
      </c>
      <c r="K18" s="6">
        <f t="shared" si="0"/>
        <v>0</v>
      </c>
      <c r="L18" s="5" t="s">
        <v>30</v>
      </c>
      <c r="M18" s="5" t="s">
        <v>30</v>
      </c>
      <c r="N18" s="5" t="s">
        <v>30</v>
      </c>
      <c r="O18" s="5" t="s">
        <v>44</v>
      </c>
      <c r="P18" s="5" t="s">
        <v>30</v>
      </c>
      <c r="Q18" s="5" t="s">
        <v>30</v>
      </c>
      <c r="R18" s="5" t="s">
        <v>30</v>
      </c>
    </row>
    <row r="19" spans="1:18" s="5" customFormat="1" x14ac:dyDescent="0.3">
      <c r="A19" s="5" t="s">
        <v>328</v>
      </c>
      <c r="B19" s="5" t="s">
        <v>16</v>
      </c>
      <c r="C19" s="5" t="s">
        <v>16</v>
      </c>
      <c r="D19" s="5" t="s">
        <v>55</v>
      </c>
      <c r="E19" s="5" t="s">
        <v>16</v>
      </c>
      <c r="F19" s="5" t="s">
        <v>16</v>
      </c>
      <c r="G19" s="5" t="s">
        <v>56</v>
      </c>
      <c r="H19" s="5" t="s">
        <v>16</v>
      </c>
      <c r="I19" s="5" t="s">
        <v>56</v>
      </c>
      <c r="J19" s="5" t="s">
        <v>37</v>
      </c>
      <c r="K19" s="6">
        <f t="shared" si="0"/>
        <v>0</v>
      </c>
      <c r="L19" s="5" t="s">
        <v>55</v>
      </c>
      <c r="M19" s="5" t="s">
        <v>16</v>
      </c>
      <c r="N19" s="5" t="s">
        <v>16</v>
      </c>
      <c r="O19" s="5" t="s">
        <v>56</v>
      </c>
      <c r="P19" s="5" t="s">
        <v>16</v>
      </c>
      <c r="Q19" s="5" t="s">
        <v>56</v>
      </c>
      <c r="R19" s="5" t="s">
        <v>37</v>
      </c>
    </row>
    <row r="20" spans="1:18" s="5" customFormat="1" x14ac:dyDescent="0.3">
      <c r="A20" s="5" t="s">
        <v>329</v>
      </c>
      <c r="B20" s="5" t="s">
        <v>30</v>
      </c>
      <c r="C20" s="5" t="s">
        <v>30</v>
      </c>
      <c r="D20" s="5" t="s">
        <v>55</v>
      </c>
      <c r="E20" s="5" t="s">
        <v>30</v>
      </c>
      <c r="F20" s="5" t="s">
        <v>30</v>
      </c>
      <c r="G20" s="5" t="s">
        <v>55</v>
      </c>
      <c r="H20" s="5" t="s">
        <v>56</v>
      </c>
      <c r="I20" s="5" t="s">
        <v>56</v>
      </c>
      <c r="J20" s="5" t="s">
        <v>30</v>
      </c>
      <c r="K20" s="6">
        <f t="shared" si="0"/>
        <v>0</v>
      </c>
      <c r="L20" s="5" t="s">
        <v>55</v>
      </c>
      <c r="M20" s="5" t="s">
        <v>30</v>
      </c>
      <c r="N20" s="5" t="s">
        <v>30</v>
      </c>
      <c r="O20" s="5" t="s">
        <v>55</v>
      </c>
      <c r="P20" s="5" t="s">
        <v>56</v>
      </c>
      <c r="Q20" s="5" t="s">
        <v>56</v>
      </c>
      <c r="R20" s="5" t="s">
        <v>30</v>
      </c>
    </row>
    <row r="21" spans="1:18" s="5" customFormat="1" x14ac:dyDescent="0.3">
      <c r="A21" s="5" t="s">
        <v>330</v>
      </c>
      <c r="B21" s="5" t="s">
        <v>30</v>
      </c>
      <c r="C21" s="5" t="s">
        <v>30</v>
      </c>
      <c r="D21" s="5" t="s">
        <v>55</v>
      </c>
      <c r="E21" s="5" t="s">
        <v>30</v>
      </c>
      <c r="F21" s="5" t="s">
        <v>44</v>
      </c>
      <c r="G21" s="5" t="s">
        <v>55</v>
      </c>
      <c r="H21" s="5" t="s">
        <v>30</v>
      </c>
      <c r="I21" s="5" t="s">
        <v>30</v>
      </c>
      <c r="J21" s="5" t="s">
        <v>55</v>
      </c>
      <c r="K21" s="6">
        <f t="shared" si="0"/>
        <v>0</v>
      </c>
      <c r="L21" s="5" t="s">
        <v>55</v>
      </c>
      <c r="M21" s="5" t="s">
        <v>30</v>
      </c>
      <c r="N21" s="5" t="s">
        <v>44</v>
      </c>
      <c r="O21" s="5" t="s">
        <v>55</v>
      </c>
      <c r="P21" s="5" t="s">
        <v>30</v>
      </c>
      <c r="Q21" s="5" t="s">
        <v>30</v>
      </c>
      <c r="R21" s="5" t="s">
        <v>55</v>
      </c>
    </row>
    <row r="22" spans="1:18" s="5" customFormat="1" x14ac:dyDescent="0.3">
      <c r="A22" s="5" t="s">
        <v>331</v>
      </c>
      <c r="B22" s="5" t="s">
        <v>30</v>
      </c>
      <c r="C22" s="5" t="s">
        <v>30</v>
      </c>
      <c r="D22" s="5" t="s">
        <v>55</v>
      </c>
      <c r="E22" s="5" t="s">
        <v>30</v>
      </c>
      <c r="F22" s="5" t="s">
        <v>30</v>
      </c>
      <c r="G22" s="5" t="s">
        <v>30</v>
      </c>
      <c r="H22" s="5" t="s">
        <v>56</v>
      </c>
      <c r="I22" s="5" t="s">
        <v>56</v>
      </c>
      <c r="J22" s="5" t="s">
        <v>30</v>
      </c>
      <c r="K22" s="6">
        <f t="shared" si="0"/>
        <v>0</v>
      </c>
      <c r="L22" s="5" t="s">
        <v>55</v>
      </c>
      <c r="M22" s="5" t="s">
        <v>30</v>
      </c>
      <c r="N22" s="5" t="s">
        <v>30</v>
      </c>
      <c r="O22" s="5" t="s">
        <v>30</v>
      </c>
      <c r="P22" s="5" t="s">
        <v>56</v>
      </c>
      <c r="Q22" s="5" t="s">
        <v>56</v>
      </c>
      <c r="R22" s="5" t="s">
        <v>30</v>
      </c>
    </row>
    <row r="23" spans="1:18" s="5" customFormat="1" x14ac:dyDescent="0.3">
      <c r="A23" s="5" t="s">
        <v>332</v>
      </c>
      <c r="B23" s="5" t="s">
        <v>16</v>
      </c>
      <c r="C23" s="5" t="s">
        <v>16</v>
      </c>
      <c r="D23" s="5" t="s">
        <v>30</v>
      </c>
      <c r="E23" s="5" t="s">
        <v>16</v>
      </c>
      <c r="F23" s="5" t="s">
        <v>30</v>
      </c>
      <c r="G23" s="5" t="s">
        <v>30</v>
      </c>
      <c r="H23" s="5" t="s">
        <v>30</v>
      </c>
      <c r="I23" s="5" t="s">
        <v>30</v>
      </c>
      <c r="J23" s="5" t="s">
        <v>55</v>
      </c>
      <c r="K23" s="6">
        <f t="shared" si="0"/>
        <v>0</v>
      </c>
      <c r="L23" s="5" t="s">
        <v>30</v>
      </c>
      <c r="M23" s="5" t="s">
        <v>16</v>
      </c>
      <c r="N23" s="5" t="s">
        <v>30</v>
      </c>
      <c r="O23" s="5" t="s">
        <v>30</v>
      </c>
      <c r="P23" s="5" t="s">
        <v>30</v>
      </c>
      <c r="Q23" s="5" t="s">
        <v>30</v>
      </c>
      <c r="R23" s="5" t="s">
        <v>55</v>
      </c>
    </row>
    <row r="24" spans="1:18" s="5" customFormat="1" x14ac:dyDescent="0.3">
      <c r="A24" s="5" t="s">
        <v>333</v>
      </c>
      <c r="B24" s="5" t="s">
        <v>44</v>
      </c>
      <c r="C24" s="5" t="s">
        <v>44</v>
      </c>
      <c r="D24" s="5" t="s">
        <v>55</v>
      </c>
      <c r="E24" s="5" t="s">
        <v>44</v>
      </c>
      <c r="F24" s="5" t="s">
        <v>44</v>
      </c>
      <c r="G24" s="5" t="s">
        <v>44</v>
      </c>
      <c r="H24" s="5" t="s">
        <v>44</v>
      </c>
      <c r="I24" s="5" t="s">
        <v>44</v>
      </c>
      <c r="J24" s="5" t="s">
        <v>44</v>
      </c>
      <c r="K24" s="6">
        <f t="shared" si="0"/>
        <v>0</v>
      </c>
      <c r="L24" s="5" t="s">
        <v>55</v>
      </c>
      <c r="M24" s="5" t="s">
        <v>44</v>
      </c>
      <c r="N24" s="5" t="s">
        <v>44</v>
      </c>
      <c r="O24" s="5" t="s">
        <v>44</v>
      </c>
      <c r="P24" s="5" t="s">
        <v>44</v>
      </c>
      <c r="Q24" s="5" t="s">
        <v>44</v>
      </c>
      <c r="R24" s="5" t="s">
        <v>44</v>
      </c>
    </row>
    <row r="25" spans="1:18" s="5" customFormat="1" x14ac:dyDescent="0.3">
      <c r="A25" s="5" t="s">
        <v>334</v>
      </c>
      <c r="B25" s="5" t="s">
        <v>140</v>
      </c>
      <c r="C25" s="5" t="s">
        <v>16</v>
      </c>
      <c r="D25" s="5" t="s">
        <v>55</v>
      </c>
      <c r="E25" s="5" t="s">
        <v>16</v>
      </c>
      <c r="F25" s="5" t="s">
        <v>16</v>
      </c>
      <c r="G25" s="5" t="s">
        <v>30</v>
      </c>
      <c r="H25" s="5" t="s">
        <v>16</v>
      </c>
      <c r="I25" s="5" t="s">
        <v>16</v>
      </c>
      <c r="J25" s="5" t="s">
        <v>55</v>
      </c>
      <c r="K25" s="6">
        <f t="shared" si="0"/>
        <v>0</v>
      </c>
      <c r="L25" s="5" t="s">
        <v>55</v>
      </c>
      <c r="M25" s="5" t="s">
        <v>16</v>
      </c>
      <c r="N25" s="5" t="s">
        <v>16</v>
      </c>
      <c r="O25" s="5" t="s">
        <v>30</v>
      </c>
      <c r="P25" s="5" t="s">
        <v>16</v>
      </c>
      <c r="Q25" s="5" t="s">
        <v>16</v>
      </c>
      <c r="R25" s="5" t="s">
        <v>55</v>
      </c>
    </row>
    <row r="26" spans="1:18" s="5" customFormat="1" x14ac:dyDescent="0.3">
      <c r="A26" s="5" t="s">
        <v>335</v>
      </c>
      <c r="B26" s="5" t="s">
        <v>44</v>
      </c>
      <c r="C26" s="5" t="s">
        <v>44</v>
      </c>
      <c r="D26" s="5" t="s">
        <v>30</v>
      </c>
      <c r="E26" s="5" t="s">
        <v>16</v>
      </c>
      <c r="F26" s="5" t="s">
        <v>30</v>
      </c>
      <c r="G26" s="5" t="s">
        <v>30</v>
      </c>
      <c r="H26" s="5" t="s">
        <v>30</v>
      </c>
      <c r="I26" s="5" t="s">
        <v>30</v>
      </c>
      <c r="J26" s="5" t="s">
        <v>30</v>
      </c>
      <c r="K26" s="6">
        <f t="shared" si="0"/>
        <v>0</v>
      </c>
      <c r="L26" s="5" t="s">
        <v>30</v>
      </c>
      <c r="M26" s="5" t="s">
        <v>16</v>
      </c>
      <c r="N26" s="5" t="s">
        <v>30</v>
      </c>
      <c r="O26" s="5" t="s">
        <v>30</v>
      </c>
      <c r="P26" s="5" t="s">
        <v>30</v>
      </c>
      <c r="Q26" s="5" t="s">
        <v>30</v>
      </c>
      <c r="R26" s="5" t="s">
        <v>30</v>
      </c>
    </row>
    <row r="27" spans="1:18" s="5" customFormat="1" x14ac:dyDescent="0.3">
      <c r="A27" s="5" t="s">
        <v>336</v>
      </c>
      <c r="B27" s="5" t="s">
        <v>30</v>
      </c>
      <c r="C27" s="5" t="s">
        <v>30</v>
      </c>
      <c r="D27" s="5" t="s">
        <v>55</v>
      </c>
      <c r="E27" s="5" t="s">
        <v>30</v>
      </c>
      <c r="F27" s="5" t="s">
        <v>30</v>
      </c>
      <c r="G27" s="5" t="s">
        <v>44</v>
      </c>
      <c r="H27" s="5" t="s">
        <v>44</v>
      </c>
      <c r="I27" s="5" t="s">
        <v>30</v>
      </c>
      <c r="J27" s="5" t="s">
        <v>16</v>
      </c>
      <c r="K27" s="6">
        <f t="shared" si="0"/>
        <v>0</v>
      </c>
      <c r="L27" s="5" t="s">
        <v>55</v>
      </c>
      <c r="M27" s="5" t="s">
        <v>30</v>
      </c>
      <c r="N27" s="5" t="s">
        <v>30</v>
      </c>
      <c r="O27" s="5" t="s">
        <v>44</v>
      </c>
      <c r="P27" s="5" t="s">
        <v>44</v>
      </c>
      <c r="Q27" s="5" t="s">
        <v>30</v>
      </c>
      <c r="R27" s="5" t="s">
        <v>16</v>
      </c>
    </row>
    <row r="28" spans="1:18" s="5" customFormat="1" x14ac:dyDescent="0.3">
      <c r="A28" s="5" t="s">
        <v>337</v>
      </c>
      <c r="B28" s="5" t="s">
        <v>37</v>
      </c>
      <c r="C28" s="5" t="s">
        <v>37</v>
      </c>
      <c r="D28" s="5" t="s">
        <v>30</v>
      </c>
      <c r="E28" s="5" t="s">
        <v>30</v>
      </c>
      <c r="F28" s="5" t="s">
        <v>30</v>
      </c>
      <c r="G28" s="5" t="s">
        <v>55</v>
      </c>
      <c r="H28" s="5" t="s">
        <v>30</v>
      </c>
      <c r="I28" s="5" t="s">
        <v>30</v>
      </c>
      <c r="J28" s="5" t="s">
        <v>37</v>
      </c>
      <c r="K28" s="6">
        <f t="shared" si="0"/>
        <v>0</v>
      </c>
      <c r="L28" s="5" t="s">
        <v>30</v>
      </c>
      <c r="M28" s="5" t="s">
        <v>30</v>
      </c>
      <c r="N28" s="5" t="s">
        <v>30</v>
      </c>
      <c r="O28" s="5" t="s">
        <v>55</v>
      </c>
      <c r="P28" s="5" t="s">
        <v>30</v>
      </c>
      <c r="Q28" s="5" t="s">
        <v>30</v>
      </c>
      <c r="R28" s="5" t="s">
        <v>37</v>
      </c>
    </row>
    <row r="29" spans="1:18" s="5" customFormat="1" x14ac:dyDescent="0.3">
      <c r="A29" s="5" t="s">
        <v>338</v>
      </c>
      <c r="B29" s="5" t="s">
        <v>206</v>
      </c>
      <c r="C29" s="5" t="s">
        <v>44</v>
      </c>
      <c r="D29" s="5" t="s">
        <v>55</v>
      </c>
      <c r="E29" s="5" t="s">
        <v>30</v>
      </c>
      <c r="F29" s="5" t="s">
        <v>55</v>
      </c>
      <c r="G29" s="5" t="s">
        <v>44</v>
      </c>
      <c r="H29" s="5" t="s">
        <v>30</v>
      </c>
      <c r="I29" s="5" t="s">
        <v>30</v>
      </c>
      <c r="J29" s="5" t="s">
        <v>55</v>
      </c>
      <c r="K29" s="6">
        <f t="shared" si="0"/>
        <v>0</v>
      </c>
      <c r="L29" s="5" t="s">
        <v>55</v>
      </c>
      <c r="M29" s="5" t="s">
        <v>30</v>
      </c>
      <c r="N29" s="5" t="s">
        <v>55</v>
      </c>
      <c r="O29" s="5" t="s">
        <v>44</v>
      </c>
      <c r="P29" s="5" t="s">
        <v>30</v>
      </c>
      <c r="Q29" s="5" t="s">
        <v>30</v>
      </c>
      <c r="R29" s="5" t="s">
        <v>55</v>
      </c>
    </row>
    <row r="30" spans="1:18" s="5" customFormat="1" x14ac:dyDescent="0.3">
      <c r="A30" s="5" t="s">
        <v>339</v>
      </c>
      <c r="B30" s="5" t="s">
        <v>44</v>
      </c>
      <c r="C30" s="5" t="s">
        <v>44</v>
      </c>
      <c r="D30" s="5" t="s">
        <v>44</v>
      </c>
      <c r="E30" s="5" t="s">
        <v>30</v>
      </c>
      <c r="F30" s="5" t="s">
        <v>44</v>
      </c>
      <c r="G30" s="5" t="s">
        <v>44</v>
      </c>
      <c r="H30" s="5" t="s">
        <v>44</v>
      </c>
      <c r="I30" s="5" t="s">
        <v>132</v>
      </c>
      <c r="J30" s="5" t="s">
        <v>16</v>
      </c>
      <c r="K30" s="6">
        <f t="shared" si="0"/>
        <v>0</v>
      </c>
      <c r="L30" s="5" t="s">
        <v>44</v>
      </c>
      <c r="M30" s="5" t="s">
        <v>30</v>
      </c>
      <c r="N30" s="5" t="s">
        <v>44</v>
      </c>
      <c r="O30" s="5" t="s">
        <v>44</v>
      </c>
      <c r="P30" s="5" t="s">
        <v>44</v>
      </c>
      <c r="Q30" s="5" t="s">
        <v>132</v>
      </c>
      <c r="R30" s="5" t="s">
        <v>16</v>
      </c>
    </row>
    <row r="31" spans="1:18" s="5" customFormat="1" x14ac:dyDescent="0.3">
      <c r="A31" s="5" t="s">
        <v>340</v>
      </c>
      <c r="B31" s="5" t="s">
        <v>30</v>
      </c>
      <c r="C31" s="5" t="s">
        <v>30</v>
      </c>
      <c r="D31" s="5" t="s">
        <v>55</v>
      </c>
      <c r="E31" s="5" t="s">
        <v>30</v>
      </c>
      <c r="F31" s="5" t="s">
        <v>30</v>
      </c>
      <c r="G31" s="5" t="s">
        <v>30</v>
      </c>
      <c r="H31" s="5" t="s">
        <v>30</v>
      </c>
      <c r="I31" s="5" t="s">
        <v>30</v>
      </c>
      <c r="J31" s="5" t="s">
        <v>179</v>
      </c>
      <c r="K31" s="6">
        <f t="shared" si="0"/>
        <v>0</v>
      </c>
      <c r="L31" s="5" t="s">
        <v>55</v>
      </c>
      <c r="M31" s="5" t="s">
        <v>30</v>
      </c>
      <c r="N31" s="5" t="s">
        <v>30</v>
      </c>
      <c r="O31" s="5" t="s">
        <v>30</v>
      </c>
      <c r="P31" s="5" t="s">
        <v>30</v>
      </c>
      <c r="Q31" s="5" t="s">
        <v>30</v>
      </c>
      <c r="R31" s="5" t="s">
        <v>179</v>
      </c>
    </row>
    <row r="32" spans="1:18" s="5" customFormat="1" x14ac:dyDescent="0.3">
      <c r="A32" s="5" t="s">
        <v>341</v>
      </c>
      <c r="B32" s="5" t="s">
        <v>37</v>
      </c>
      <c r="C32" s="5" t="s">
        <v>37</v>
      </c>
      <c r="D32" s="5" t="s">
        <v>37</v>
      </c>
      <c r="E32" s="5" t="s">
        <v>37</v>
      </c>
      <c r="F32" s="5" t="s">
        <v>37</v>
      </c>
      <c r="G32" s="5" t="s">
        <v>37</v>
      </c>
      <c r="H32" s="5" t="s">
        <v>37</v>
      </c>
      <c r="I32" s="5" t="s">
        <v>30</v>
      </c>
      <c r="J32" s="5" t="s">
        <v>30</v>
      </c>
      <c r="K32" s="6">
        <f t="shared" si="0"/>
        <v>0</v>
      </c>
      <c r="L32" s="5" t="s">
        <v>37</v>
      </c>
      <c r="M32" s="5" t="s">
        <v>37</v>
      </c>
      <c r="N32" s="5" t="s">
        <v>37</v>
      </c>
      <c r="O32" s="5" t="s">
        <v>37</v>
      </c>
      <c r="P32" s="5" t="s">
        <v>37</v>
      </c>
      <c r="Q32" s="5" t="s">
        <v>30</v>
      </c>
      <c r="R32" s="5" t="s">
        <v>30</v>
      </c>
    </row>
    <row r="33" spans="1:18" s="5" customFormat="1" x14ac:dyDescent="0.3">
      <c r="A33" s="5" t="s">
        <v>342</v>
      </c>
      <c r="B33" s="5" t="s">
        <v>30</v>
      </c>
      <c r="C33" s="5" t="s">
        <v>30</v>
      </c>
      <c r="D33" s="5" t="s">
        <v>55</v>
      </c>
      <c r="E33" s="5" t="s">
        <v>56</v>
      </c>
      <c r="F33" s="5" t="s">
        <v>37</v>
      </c>
      <c r="G33" s="5" t="s">
        <v>179</v>
      </c>
      <c r="H33" s="5" t="s">
        <v>55</v>
      </c>
      <c r="I33" s="5" t="s">
        <v>30</v>
      </c>
      <c r="J33" s="5" t="s">
        <v>56</v>
      </c>
      <c r="K33" s="6">
        <f t="shared" si="0"/>
        <v>0</v>
      </c>
      <c r="L33" s="5" t="s">
        <v>55</v>
      </c>
      <c r="M33" s="5" t="s">
        <v>56</v>
      </c>
      <c r="N33" s="5" t="s">
        <v>37</v>
      </c>
      <c r="O33" s="5" t="s">
        <v>179</v>
      </c>
      <c r="P33" s="5" t="s">
        <v>55</v>
      </c>
      <c r="Q33" s="5" t="s">
        <v>30</v>
      </c>
      <c r="R33" s="5" t="s">
        <v>56</v>
      </c>
    </row>
    <row r="34" spans="1:18" s="5" customFormat="1" x14ac:dyDescent="0.3">
      <c r="A34" s="5" t="s">
        <v>343</v>
      </c>
      <c r="B34" s="5" t="s">
        <v>30</v>
      </c>
      <c r="C34" s="5" t="s">
        <v>30</v>
      </c>
      <c r="D34" s="5" t="s">
        <v>55</v>
      </c>
      <c r="E34" s="5" t="s">
        <v>179</v>
      </c>
      <c r="F34" s="5" t="s">
        <v>30</v>
      </c>
      <c r="G34" s="5" t="s">
        <v>30</v>
      </c>
      <c r="H34" s="5" t="s">
        <v>56</v>
      </c>
      <c r="I34" s="5" t="s">
        <v>44</v>
      </c>
      <c r="J34" s="5" t="s">
        <v>30</v>
      </c>
      <c r="K34" s="6">
        <f t="shared" ref="K34:K65" si="1">IF(AND(B34=C34,C34=D34,D34=E34,E34=F34,F34=G34,G34=H34,H34=I34,I34=J34), 1, 0)</f>
        <v>0</v>
      </c>
      <c r="L34" s="5" t="s">
        <v>55</v>
      </c>
      <c r="M34" s="5" t="s">
        <v>179</v>
      </c>
      <c r="N34" s="5" t="s">
        <v>30</v>
      </c>
      <c r="O34" s="5" t="s">
        <v>30</v>
      </c>
      <c r="P34" s="5" t="s">
        <v>56</v>
      </c>
      <c r="Q34" s="5" t="s">
        <v>44</v>
      </c>
      <c r="R34" s="5" t="s">
        <v>30</v>
      </c>
    </row>
    <row r="35" spans="1:18" s="5" customFormat="1" x14ac:dyDescent="0.3">
      <c r="A35" s="5" t="s">
        <v>344</v>
      </c>
      <c r="B35" s="5" t="s">
        <v>179</v>
      </c>
      <c r="C35" s="5" t="s">
        <v>179</v>
      </c>
      <c r="D35" s="5" t="s">
        <v>16</v>
      </c>
      <c r="E35" s="5" t="s">
        <v>179</v>
      </c>
      <c r="F35" s="5" t="s">
        <v>30</v>
      </c>
      <c r="G35" s="5" t="s">
        <v>55</v>
      </c>
      <c r="H35" s="5" t="s">
        <v>30</v>
      </c>
      <c r="I35" s="5" t="s">
        <v>56</v>
      </c>
      <c r="J35" s="5" t="s">
        <v>16</v>
      </c>
      <c r="K35" s="6">
        <f t="shared" si="1"/>
        <v>0</v>
      </c>
      <c r="L35" s="5" t="s">
        <v>16</v>
      </c>
      <c r="M35" s="5" t="s">
        <v>179</v>
      </c>
      <c r="N35" s="5" t="s">
        <v>30</v>
      </c>
      <c r="O35" s="5" t="s">
        <v>55</v>
      </c>
      <c r="P35" s="5" t="s">
        <v>30</v>
      </c>
      <c r="Q35" s="5" t="s">
        <v>56</v>
      </c>
      <c r="R35" s="5" t="s">
        <v>16</v>
      </c>
    </row>
    <row r="36" spans="1:18" s="5" customFormat="1" x14ac:dyDescent="0.3">
      <c r="A36" s="5" t="s">
        <v>345</v>
      </c>
      <c r="B36" s="5" t="s">
        <v>44</v>
      </c>
      <c r="C36" s="5" t="s">
        <v>44</v>
      </c>
      <c r="D36" s="5" t="s">
        <v>30</v>
      </c>
      <c r="E36" s="5" t="s">
        <v>44</v>
      </c>
      <c r="F36" s="5" t="s">
        <v>44</v>
      </c>
      <c r="G36" s="5" t="s">
        <v>56</v>
      </c>
      <c r="H36" s="5" t="s">
        <v>30</v>
      </c>
      <c r="I36" s="5" t="s">
        <v>30</v>
      </c>
      <c r="J36" s="5" t="s">
        <v>30</v>
      </c>
      <c r="K36" s="6">
        <f t="shared" si="1"/>
        <v>0</v>
      </c>
      <c r="L36" s="5" t="s">
        <v>30</v>
      </c>
      <c r="M36" s="5" t="s">
        <v>44</v>
      </c>
      <c r="N36" s="5" t="s">
        <v>44</v>
      </c>
      <c r="O36" s="5" t="s">
        <v>56</v>
      </c>
      <c r="P36" s="5" t="s">
        <v>30</v>
      </c>
      <c r="Q36" s="5" t="s">
        <v>30</v>
      </c>
      <c r="R36" s="5" t="s">
        <v>30</v>
      </c>
    </row>
    <row r="37" spans="1:18" s="5" customFormat="1" x14ac:dyDescent="0.3">
      <c r="A37" s="5" t="s">
        <v>346</v>
      </c>
      <c r="B37" s="5" t="s">
        <v>44</v>
      </c>
      <c r="C37" s="5" t="s">
        <v>44</v>
      </c>
      <c r="D37" s="5" t="s">
        <v>30</v>
      </c>
      <c r="E37" s="5" t="s">
        <v>44</v>
      </c>
      <c r="F37" s="5" t="s">
        <v>30</v>
      </c>
      <c r="G37" s="5" t="s">
        <v>44</v>
      </c>
      <c r="H37" s="5" t="s">
        <v>30</v>
      </c>
      <c r="I37" s="5" t="s">
        <v>56</v>
      </c>
      <c r="J37" s="5" t="s">
        <v>30</v>
      </c>
      <c r="K37" s="6">
        <f t="shared" si="1"/>
        <v>0</v>
      </c>
      <c r="L37" s="5" t="s">
        <v>30</v>
      </c>
      <c r="M37" s="5" t="s">
        <v>44</v>
      </c>
      <c r="N37" s="5" t="s">
        <v>30</v>
      </c>
      <c r="O37" s="5" t="s">
        <v>44</v>
      </c>
      <c r="P37" s="5" t="s">
        <v>30</v>
      </c>
      <c r="Q37" s="5" t="s">
        <v>56</v>
      </c>
      <c r="R37" s="5" t="s">
        <v>30</v>
      </c>
    </row>
    <row r="38" spans="1:18" s="5" customFormat="1" x14ac:dyDescent="0.3">
      <c r="A38" s="5" t="s">
        <v>347</v>
      </c>
      <c r="B38" s="5" t="s">
        <v>44</v>
      </c>
      <c r="C38" s="5" t="s">
        <v>44</v>
      </c>
      <c r="D38" s="5" t="s">
        <v>55</v>
      </c>
      <c r="E38" s="5" t="s">
        <v>44</v>
      </c>
      <c r="F38" s="5" t="s">
        <v>44</v>
      </c>
      <c r="G38" s="5" t="s">
        <v>44</v>
      </c>
      <c r="H38" s="5" t="s">
        <v>55</v>
      </c>
      <c r="I38" s="5" t="s">
        <v>55</v>
      </c>
      <c r="J38" s="5" t="s">
        <v>179</v>
      </c>
      <c r="K38" s="6">
        <f t="shared" si="1"/>
        <v>0</v>
      </c>
      <c r="L38" s="5" t="s">
        <v>55</v>
      </c>
      <c r="M38" s="5" t="s">
        <v>44</v>
      </c>
      <c r="N38" s="5" t="s">
        <v>44</v>
      </c>
      <c r="O38" s="5" t="s">
        <v>44</v>
      </c>
      <c r="P38" s="5" t="s">
        <v>55</v>
      </c>
      <c r="Q38" s="5" t="s">
        <v>55</v>
      </c>
      <c r="R38" s="5" t="s">
        <v>179</v>
      </c>
    </row>
    <row r="39" spans="1:18" s="5" customFormat="1" x14ac:dyDescent="0.3">
      <c r="A39" s="5" t="s">
        <v>348</v>
      </c>
      <c r="B39" s="5" t="s">
        <v>30</v>
      </c>
      <c r="C39" s="5" t="s">
        <v>30</v>
      </c>
      <c r="D39" s="5" t="s">
        <v>56</v>
      </c>
      <c r="E39" s="5" t="s">
        <v>30</v>
      </c>
      <c r="F39" s="5" t="s">
        <v>30</v>
      </c>
      <c r="G39" s="5" t="s">
        <v>30</v>
      </c>
      <c r="H39" s="5" t="s">
        <v>30</v>
      </c>
      <c r="I39" s="5" t="s">
        <v>56</v>
      </c>
      <c r="J39" s="5" t="s">
        <v>30</v>
      </c>
      <c r="K39" s="6">
        <f t="shared" si="1"/>
        <v>0</v>
      </c>
      <c r="L39" s="5" t="s">
        <v>56</v>
      </c>
      <c r="M39" s="5" t="s">
        <v>30</v>
      </c>
      <c r="N39" s="5" t="s">
        <v>30</v>
      </c>
      <c r="O39" s="5" t="s">
        <v>30</v>
      </c>
      <c r="P39" s="5" t="s">
        <v>30</v>
      </c>
      <c r="Q39" s="5" t="s">
        <v>56</v>
      </c>
      <c r="R39" s="5" t="s">
        <v>30</v>
      </c>
    </row>
    <row r="40" spans="1:18" s="5" customFormat="1" x14ac:dyDescent="0.3">
      <c r="A40" s="5" t="s">
        <v>349</v>
      </c>
      <c r="B40" s="5" t="s">
        <v>30</v>
      </c>
      <c r="C40" s="5" t="s">
        <v>30</v>
      </c>
      <c r="D40" s="5" t="s">
        <v>55</v>
      </c>
      <c r="E40" s="5" t="s">
        <v>30</v>
      </c>
      <c r="F40" s="5" t="s">
        <v>56</v>
      </c>
      <c r="G40" s="5" t="s">
        <v>55</v>
      </c>
      <c r="H40" s="5" t="s">
        <v>56</v>
      </c>
      <c r="I40" s="5" t="s">
        <v>37</v>
      </c>
      <c r="J40" s="5" t="s">
        <v>30</v>
      </c>
      <c r="K40" s="6">
        <f t="shared" si="1"/>
        <v>0</v>
      </c>
      <c r="L40" s="5" t="s">
        <v>55</v>
      </c>
      <c r="M40" s="5" t="s">
        <v>30</v>
      </c>
      <c r="N40" s="5" t="s">
        <v>56</v>
      </c>
      <c r="O40" s="5" t="s">
        <v>55</v>
      </c>
      <c r="P40" s="5" t="s">
        <v>56</v>
      </c>
      <c r="Q40" s="5" t="s">
        <v>37</v>
      </c>
      <c r="R40" s="5" t="s">
        <v>30</v>
      </c>
    </row>
    <row r="41" spans="1:18" s="5" customFormat="1" x14ac:dyDescent="0.3">
      <c r="A41" s="5" t="s">
        <v>350</v>
      </c>
      <c r="B41" s="5" t="s">
        <v>37</v>
      </c>
      <c r="C41" s="5" t="s">
        <v>37</v>
      </c>
      <c r="D41" s="5" t="s">
        <v>55</v>
      </c>
      <c r="E41" s="5" t="s">
        <v>37</v>
      </c>
      <c r="F41" s="5" t="s">
        <v>179</v>
      </c>
      <c r="G41" s="5" t="s">
        <v>179</v>
      </c>
      <c r="H41" s="5" t="s">
        <v>55</v>
      </c>
      <c r="I41" s="5" t="s">
        <v>55</v>
      </c>
      <c r="J41" s="5" t="s">
        <v>55</v>
      </c>
      <c r="K41" s="6">
        <f t="shared" si="1"/>
        <v>0</v>
      </c>
      <c r="L41" s="5" t="s">
        <v>55</v>
      </c>
      <c r="M41" s="5" t="s">
        <v>37</v>
      </c>
      <c r="N41" s="5" t="s">
        <v>179</v>
      </c>
      <c r="O41" s="5" t="s">
        <v>179</v>
      </c>
      <c r="P41" s="5" t="s">
        <v>55</v>
      </c>
      <c r="Q41" s="5" t="s">
        <v>55</v>
      </c>
      <c r="R41" s="5" t="s">
        <v>55</v>
      </c>
    </row>
    <row r="42" spans="1:18" s="5" customFormat="1" x14ac:dyDescent="0.3">
      <c r="A42" s="5" t="s">
        <v>351</v>
      </c>
      <c r="B42" s="5" t="s">
        <v>30</v>
      </c>
      <c r="C42" s="5" t="s">
        <v>30</v>
      </c>
      <c r="D42" s="5" t="s">
        <v>55</v>
      </c>
      <c r="E42" s="5" t="s">
        <v>30</v>
      </c>
      <c r="F42" s="5" t="s">
        <v>56</v>
      </c>
      <c r="G42" s="5" t="s">
        <v>55</v>
      </c>
      <c r="H42" s="5" t="s">
        <v>56</v>
      </c>
      <c r="I42" s="5" t="s">
        <v>30</v>
      </c>
      <c r="J42" s="5" t="s">
        <v>30</v>
      </c>
      <c r="K42" s="6">
        <f t="shared" si="1"/>
        <v>0</v>
      </c>
      <c r="L42" s="5" t="s">
        <v>55</v>
      </c>
      <c r="M42" s="5" t="s">
        <v>30</v>
      </c>
      <c r="N42" s="5" t="s">
        <v>56</v>
      </c>
      <c r="O42" s="5" t="s">
        <v>55</v>
      </c>
      <c r="P42" s="5" t="s">
        <v>56</v>
      </c>
      <c r="Q42" s="5" t="s">
        <v>30</v>
      </c>
      <c r="R42" s="5" t="s">
        <v>30</v>
      </c>
    </row>
    <row r="43" spans="1:18" s="5" customFormat="1" x14ac:dyDescent="0.3">
      <c r="A43" s="5" t="s">
        <v>352</v>
      </c>
      <c r="B43" s="5" t="s">
        <v>16</v>
      </c>
      <c r="C43" s="5" t="s">
        <v>16</v>
      </c>
      <c r="D43" s="5" t="s">
        <v>16</v>
      </c>
      <c r="E43" s="5" t="s">
        <v>16</v>
      </c>
      <c r="F43" s="5" t="s">
        <v>16</v>
      </c>
      <c r="G43" s="5" t="s">
        <v>16</v>
      </c>
      <c r="H43" s="5" t="s">
        <v>30</v>
      </c>
      <c r="I43" s="5" t="s">
        <v>16</v>
      </c>
      <c r="J43" s="5" t="s">
        <v>16</v>
      </c>
      <c r="K43" s="6">
        <f t="shared" si="1"/>
        <v>0</v>
      </c>
      <c r="L43" s="5" t="s">
        <v>16</v>
      </c>
      <c r="M43" s="5" t="s">
        <v>16</v>
      </c>
      <c r="N43" s="5" t="s">
        <v>16</v>
      </c>
      <c r="O43" s="5" t="s">
        <v>16</v>
      </c>
      <c r="P43" s="5" t="s">
        <v>30</v>
      </c>
      <c r="Q43" s="5" t="s">
        <v>16</v>
      </c>
      <c r="R43" s="5" t="s">
        <v>16</v>
      </c>
    </row>
    <row r="44" spans="1:18" s="5" customFormat="1" x14ac:dyDescent="0.3">
      <c r="A44" s="5" t="s">
        <v>353</v>
      </c>
      <c r="B44" s="5" t="s">
        <v>30</v>
      </c>
      <c r="C44" s="5" t="s">
        <v>30</v>
      </c>
      <c r="D44" s="5" t="s">
        <v>30</v>
      </c>
      <c r="E44" s="5" t="s">
        <v>30</v>
      </c>
      <c r="F44" s="5" t="s">
        <v>30</v>
      </c>
      <c r="G44" s="5" t="s">
        <v>30</v>
      </c>
      <c r="H44" s="5" t="s">
        <v>30</v>
      </c>
      <c r="I44" s="5" t="s">
        <v>56</v>
      </c>
      <c r="J44" s="5" t="s">
        <v>30</v>
      </c>
      <c r="K44" s="6">
        <f t="shared" si="1"/>
        <v>0</v>
      </c>
      <c r="L44" s="5" t="s">
        <v>30</v>
      </c>
      <c r="M44" s="5" t="s">
        <v>30</v>
      </c>
      <c r="N44" s="5" t="s">
        <v>30</v>
      </c>
      <c r="O44" s="5" t="s">
        <v>30</v>
      </c>
      <c r="P44" s="5" t="s">
        <v>30</v>
      </c>
      <c r="Q44" s="5" t="s">
        <v>56</v>
      </c>
      <c r="R44" s="5" t="s">
        <v>30</v>
      </c>
    </row>
    <row r="45" spans="1:18" s="5" customFormat="1" x14ac:dyDescent="0.3">
      <c r="A45" s="5" t="s">
        <v>354</v>
      </c>
      <c r="B45" s="5" t="s">
        <v>30</v>
      </c>
      <c r="C45" s="5" t="s">
        <v>30</v>
      </c>
      <c r="D45" s="5" t="s">
        <v>55</v>
      </c>
      <c r="E45" s="5" t="s">
        <v>30</v>
      </c>
      <c r="F45" s="5" t="s">
        <v>56</v>
      </c>
      <c r="G45" s="5" t="s">
        <v>30</v>
      </c>
      <c r="H45" s="5" t="s">
        <v>56</v>
      </c>
      <c r="I45" s="5" t="s">
        <v>30</v>
      </c>
      <c r="J45" s="5" t="s">
        <v>30</v>
      </c>
      <c r="K45" s="6">
        <f t="shared" si="1"/>
        <v>0</v>
      </c>
      <c r="L45" s="5" t="s">
        <v>55</v>
      </c>
      <c r="M45" s="5" t="s">
        <v>30</v>
      </c>
      <c r="N45" s="5" t="s">
        <v>56</v>
      </c>
      <c r="O45" s="5" t="s">
        <v>30</v>
      </c>
      <c r="P45" s="5" t="s">
        <v>56</v>
      </c>
      <c r="Q45" s="5" t="s">
        <v>30</v>
      </c>
      <c r="R45" s="5" t="s">
        <v>30</v>
      </c>
    </row>
    <row r="46" spans="1:18" s="5" customFormat="1" x14ac:dyDescent="0.3">
      <c r="A46" s="5" t="s">
        <v>355</v>
      </c>
      <c r="B46" s="5" t="s">
        <v>140</v>
      </c>
      <c r="C46" s="5" t="s">
        <v>16</v>
      </c>
      <c r="D46" s="5" t="s">
        <v>16</v>
      </c>
      <c r="E46" s="5" t="s">
        <v>16</v>
      </c>
      <c r="F46" s="5" t="s">
        <v>16</v>
      </c>
      <c r="G46" s="5" t="s">
        <v>16</v>
      </c>
      <c r="H46" s="5" t="s">
        <v>56</v>
      </c>
      <c r="I46" s="5" t="s">
        <v>16</v>
      </c>
      <c r="J46" s="5" t="s">
        <v>16</v>
      </c>
      <c r="K46" s="6">
        <f t="shared" si="1"/>
        <v>0</v>
      </c>
      <c r="L46" s="5" t="s">
        <v>16</v>
      </c>
      <c r="M46" s="5" t="s">
        <v>16</v>
      </c>
      <c r="N46" s="5" t="s">
        <v>16</v>
      </c>
      <c r="O46" s="5" t="s">
        <v>16</v>
      </c>
      <c r="P46" s="5" t="s">
        <v>56</v>
      </c>
      <c r="Q46" s="5" t="s">
        <v>16</v>
      </c>
      <c r="R46" s="5" t="s">
        <v>16</v>
      </c>
    </row>
    <row r="47" spans="1:18" s="5" customFormat="1" x14ac:dyDescent="0.3">
      <c r="A47" s="5" t="s">
        <v>356</v>
      </c>
      <c r="B47" s="5" t="s">
        <v>44</v>
      </c>
      <c r="C47" s="5" t="s">
        <v>44</v>
      </c>
      <c r="D47" s="5" t="s">
        <v>30</v>
      </c>
      <c r="E47" s="5" t="s">
        <v>44</v>
      </c>
      <c r="F47" s="5" t="s">
        <v>44</v>
      </c>
      <c r="G47" s="5" t="s">
        <v>44</v>
      </c>
      <c r="H47" s="5" t="s">
        <v>44</v>
      </c>
      <c r="I47" s="5" t="s">
        <v>44</v>
      </c>
      <c r="J47" s="5" t="s">
        <v>44</v>
      </c>
      <c r="K47" s="6">
        <f t="shared" si="1"/>
        <v>0</v>
      </c>
      <c r="L47" s="5" t="s">
        <v>30</v>
      </c>
      <c r="M47" s="5" t="s">
        <v>44</v>
      </c>
      <c r="N47" s="5" t="s">
        <v>44</v>
      </c>
      <c r="O47" s="5" t="s">
        <v>44</v>
      </c>
      <c r="P47" s="5" t="s">
        <v>44</v>
      </c>
      <c r="Q47" s="5" t="s">
        <v>44</v>
      </c>
      <c r="R47" s="5" t="s">
        <v>44</v>
      </c>
    </row>
    <row r="48" spans="1:18" s="5" customFormat="1" x14ac:dyDescent="0.3">
      <c r="A48" s="5" t="s">
        <v>357</v>
      </c>
      <c r="B48" s="5" t="s">
        <v>140</v>
      </c>
      <c r="C48" s="5" t="s">
        <v>16</v>
      </c>
      <c r="D48" s="5" t="s">
        <v>55</v>
      </c>
      <c r="E48" s="5" t="s">
        <v>16</v>
      </c>
      <c r="F48" s="5" t="s">
        <v>16</v>
      </c>
      <c r="G48" s="5" t="s">
        <v>16</v>
      </c>
      <c r="H48" s="5" t="s">
        <v>56</v>
      </c>
      <c r="I48" s="5" t="s">
        <v>56</v>
      </c>
      <c r="J48" s="5" t="s">
        <v>37</v>
      </c>
      <c r="K48" s="6">
        <f t="shared" si="1"/>
        <v>0</v>
      </c>
      <c r="L48" s="5" t="s">
        <v>55</v>
      </c>
      <c r="M48" s="5" t="s">
        <v>16</v>
      </c>
      <c r="N48" s="5" t="s">
        <v>16</v>
      </c>
      <c r="O48" s="5" t="s">
        <v>16</v>
      </c>
      <c r="P48" s="5" t="s">
        <v>56</v>
      </c>
      <c r="Q48" s="5" t="s">
        <v>56</v>
      </c>
      <c r="R48" s="5" t="s">
        <v>37</v>
      </c>
    </row>
    <row r="49" spans="1:18" s="5" customFormat="1" x14ac:dyDescent="0.3">
      <c r="A49" s="5" t="s">
        <v>358</v>
      </c>
      <c r="B49" s="5" t="s">
        <v>140</v>
      </c>
      <c r="C49" s="5" t="s">
        <v>16</v>
      </c>
      <c r="D49" s="5" t="s">
        <v>55</v>
      </c>
      <c r="E49" s="5" t="s">
        <v>16</v>
      </c>
      <c r="F49" s="5" t="s">
        <v>37</v>
      </c>
      <c r="G49" s="5" t="s">
        <v>16</v>
      </c>
      <c r="H49" s="5" t="s">
        <v>16</v>
      </c>
      <c r="I49" s="5" t="s">
        <v>37</v>
      </c>
      <c r="J49" s="5" t="s">
        <v>37</v>
      </c>
      <c r="K49" s="6">
        <f t="shared" si="1"/>
        <v>0</v>
      </c>
      <c r="L49" s="5" t="s">
        <v>55</v>
      </c>
      <c r="M49" s="5" t="s">
        <v>306</v>
      </c>
      <c r="N49" s="5" t="s">
        <v>37</v>
      </c>
      <c r="O49" s="5" t="s">
        <v>16</v>
      </c>
      <c r="P49" s="5" t="s">
        <v>16</v>
      </c>
      <c r="Q49" s="5" t="s">
        <v>37</v>
      </c>
      <c r="R49" s="5" t="s">
        <v>37</v>
      </c>
    </row>
    <row r="50" spans="1:18" s="5" customFormat="1" x14ac:dyDescent="0.3">
      <c r="A50" s="5" t="s">
        <v>359</v>
      </c>
      <c r="B50" s="5" t="s">
        <v>44</v>
      </c>
      <c r="C50" s="5" t="s">
        <v>44</v>
      </c>
      <c r="D50" s="5" t="s">
        <v>55</v>
      </c>
      <c r="E50" s="5" t="s">
        <v>44</v>
      </c>
      <c r="F50" s="5" t="s">
        <v>44</v>
      </c>
      <c r="G50" s="5" t="s">
        <v>44</v>
      </c>
      <c r="H50" s="5" t="s">
        <v>56</v>
      </c>
      <c r="I50" s="5" t="s">
        <v>56</v>
      </c>
      <c r="J50" s="5" t="s">
        <v>16</v>
      </c>
      <c r="K50" s="6">
        <f t="shared" si="1"/>
        <v>0</v>
      </c>
      <c r="L50" s="5" t="s">
        <v>55</v>
      </c>
      <c r="M50" s="5" t="s">
        <v>44</v>
      </c>
      <c r="N50" s="5" t="s">
        <v>44</v>
      </c>
      <c r="O50" s="5" t="s">
        <v>44</v>
      </c>
      <c r="P50" s="5" t="s">
        <v>56</v>
      </c>
      <c r="Q50" s="5" t="s">
        <v>56</v>
      </c>
      <c r="R50" s="5" t="s">
        <v>16</v>
      </c>
    </row>
    <row r="51" spans="1:18" s="5" customFormat="1" x14ac:dyDescent="0.3">
      <c r="A51" s="5" t="s">
        <v>360</v>
      </c>
      <c r="B51" s="5" t="s">
        <v>37</v>
      </c>
      <c r="C51" s="5" t="s">
        <v>37</v>
      </c>
      <c r="D51" s="5" t="s">
        <v>55</v>
      </c>
      <c r="E51" s="5" t="s">
        <v>37</v>
      </c>
      <c r="F51" s="5" t="s">
        <v>37</v>
      </c>
      <c r="G51" s="5" t="s">
        <v>37</v>
      </c>
      <c r="H51" s="5" t="s">
        <v>37</v>
      </c>
      <c r="I51" s="5" t="s">
        <v>37</v>
      </c>
      <c r="J51" s="5" t="s">
        <v>37</v>
      </c>
      <c r="K51" s="6">
        <f t="shared" si="1"/>
        <v>0</v>
      </c>
      <c r="L51" s="5" t="s">
        <v>55</v>
      </c>
      <c r="M51" s="5" t="s">
        <v>37</v>
      </c>
      <c r="N51" s="5" t="s">
        <v>37</v>
      </c>
      <c r="O51" s="5" t="s">
        <v>37</v>
      </c>
      <c r="P51" s="5" t="s">
        <v>37</v>
      </c>
      <c r="Q51" s="5" t="s">
        <v>37</v>
      </c>
      <c r="R51" s="5" t="s">
        <v>37</v>
      </c>
    </row>
    <row r="52" spans="1:18" s="5" customFormat="1" x14ac:dyDescent="0.3">
      <c r="A52" s="5" t="s">
        <v>361</v>
      </c>
      <c r="B52" s="5" t="s">
        <v>30</v>
      </c>
      <c r="C52" s="5" t="s">
        <v>30</v>
      </c>
      <c r="D52" s="5" t="s">
        <v>55</v>
      </c>
      <c r="E52" s="5" t="s">
        <v>30</v>
      </c>
      <c r="F52" s="5" t="s">
        <v>44</v>
      </c>
      <c r="G52" s="5" t="s">
        <v>55</v>
      </c>
      <c r="H52" s="5" t="s">
        <v>56</v>
      </c>
      <c r="I52" s="5" t="s">
        <v>56</v>
      </c>
      <c r="J52" s="5" t="s">
        <v>30</v>
      </c>
      <c r="K52" s="6">
        <f t="shared" si="1"/>
        <v>0</v>
      </c>
      <c r="L52" s="5" t="s">
        <v>55</v>
      </c>
      <c r="M52" s="5" t="s">
        <v>30</v>
      </c>
      <c r="N52" s="5" t="s">
        <v>44</v>
      </c>
      <c r="O52" s="5" t="s">
        <v>55</v>
      </c>
      <c r="P52" s="5" t="s">
        <v>56</v>
      </c>
      <c r="Q52" s="5" t="s">
        <v>56</v>
      </c>
      <c r="R52" s="5" t="s">
        <v>30</v>
      </c>
    </row>
    <row r="53" spans="1:18" s="5" customFormat="1" x14ac:dyDescent="0.3">
      <c r="A53" s="5" t="s">
        <v>362</v>
      </c>
      <c r="B53" s="5" t="s">
        <v>44</v>
      </c>
      <c r="C53" s="5" t="s">
        <v>44</v>
      </c>
      <c r="D53" s="5" t="s">
        <v>55</v>
      </c>
      <c r="E53" s="5" t="s">
        <v>30</v>
      </c>
      <c r="F53" s="5" t="s">
        <v>44</v>
      </c>
      <c r="G53" s="5" t="s">
        <v>44</v>
      </c>
      <c r="H53" s="5" t="s">
        <v>44</v>
      </c>
      <c r="I53" s="5" t="s">
        <v>56</v>
      </c>
      <c r="J53" s="5" t="s">
        <v>37</v>
      </c>
      <c r="K53" s="6">
        <f t="shared" si="1"/>
        <v>0</v>
      </c>
      <c r="L53" s="5" t="s">
        <v>55</v>
      </c>
      <c r="M53" s="5" t="s">
        <v>30</v>
      </c>
      <c r="N53" s="5" t="s">
        <v>44</v>
      </c>
      <c r="O53" s="5" t="s">
        <v>44</v>
      </c>
      <c r="P53" s="5" t="s">
        <v>44</v>
      </c>
      <c r="Q53" s="5" t="s">
        <v>56</v>
      </c>
      <c r="R53" s="5" t="s">
        <v>37</v>
      </c>
    </row>
    <row r="54" spans="1:18" s="5" customFormat="1" x14ac:dyDescent="0.3">
      <c r="A54" s="5" t="s">
        <v>363</v>
      </c>
      <c r="B54" s="5" t="s">
        <v>30</v>
      </c>
      <c r="C54" s="5" t="s">
        <v>30</v>
      </c>
      <c r="D54" s="5" t="s">
        <v>55</v>
      </c>
      <c r="E54" s="5" t="s">
        <v>30</v>
      </c>
      <c r="F54" s="5" t="s">
        <v>30</v>
      </c>
      <c r="G54" s="5" t="s">
        <v>55</v>
      </c>
      <c r="H54" s="5" t="s">
        <v>56</v>
      </c>
      <c r="I54" s="5" t="s">
        <v>56</v>
      </c>
      <c r="J54" s="5" t="s">
        <v>30</v>
      </c>
      <c r="K54" s="6">
        <f t="shared" si="1"/>
        <v>0</v>
      </c>
      <c r="L54" s="5" t="s">
        <v>55</v>
      </c>
      <c r="M54" s="5" t="s">
        <v>30</v>
      </c>
      <c r="N54" s="5" t="s">
        <v>30</v>
      </c>
      <c r="O54" s="5" t="s">
        <v>55</v>
      </c>
      <c r="P54" s="5" t="s">
        <v>56</v>
      </c>
      <c r="Q54" s="5" t="s">
        <v>56</v>
      </c>
      <c r="R54" s="5" t="s">
        <v>30</v>
      </c>
    </row>
    <row r="55" spans="1:18" s="5" customFormat="1" x14ac:dyDescent="0.3">
      <c r="A55" s="5" t="s">
        <v>364</v>
      </c>
      <c r="B55" s="5" t="s">
        <v>16</v>
      </c>
      <c r="C55" s="5" t="s">
        <v>16</v>
      </c>
      <c r="D55" s="5" t="s">
        <v>55</v>
      </c>
      <c r="E55" s="5" t="s">
        <v>55</v>
      </c>
      <c r="F55" s="5" t="s">
        <v>16</v>
      </c>
      <c r="G55" s="5" t="s">
        <v>16</v>
      </c>
      <c r="H55" s="5" t="s">
        <v>16</v>
      </c>
      <c r="I55" s="5" t="s">
        <v>16</v>
      </c>
      <c r="J55" s="5" t="s">
        <v>16</v>
      </c>
      <c r="K55" s="6">
        <f t="shared" si="1"/>
        <v>0</v>
      </c>
      <c r="L55" s="5" t="s">
        <v>55</v>
      </c>
      <c r="M55" s="5" t="s">
        <v>55</v>
      </c>
      <c r="N55" s="5" t="s">
        <v>16</v>
      </c>
      <c r="O55" s="5" t="s">
        <v>16</v>
      </c>
      <c r="P55" s="5" t="s">
        <v>16</v>
      </c>
      <c r="Q55" s="5" t="s">
        <v>16</v>
      </c>
      <c r="R55" s="5" t="s">
        <v>16</v>
      </c>
    </row>
    <row r="56" spans="1:18" s="5" customFormat="1" x14ac:dyDescent="0.3">
      <c r="A56" s="5" t="s">
        <v>365</v>
      </c>
      <c r="B56" s="5" t="s">
        <v>16</v>
      </c>
      <c r="C56" s="5" t="s">
        <v>16</v>
      </c>
      <c r="D56" s="5" t="s">
        <v>16</v>
      </c>
      <c r="E56" s="5" t="s">
        <v>16</v>
      </c>
      <c r="F56" s="5" t="s">
        <v>16</v>
      </c>
      <c r="G56" s="5" t="s">
        <v>16</v>
      </c>
      <c r="H56" s="5" t="s">
        <v>16</v>
      </c>
      <c r="I56" s="5" t="s">
        <v>30</v>
      </c>
      <c r="J56" s="5" t="s">
        <v>16</v>
      </c>
      <c r="K56" s="6">
        <f t="shared" si="1"/>
        <v>0</v>
      </c>
      <c r="L56" s="5" t="s">
        <v>16</v>
      </c>
      <c r="M56" s="5" t="s">
        <v>16</v>
      </c>
      <c r="N56" s="5" t="s">
        <v>16</v>
      </c>
      <c r="O56" s="5" t="s">
        <v>16</v>
      </c>
      <c r="P56" s="5" t="s">
        <v>16</v>
      </c>
      <c r="Q56" s="5" t="s">
        <v>30</v>
      </c>
      <c r="R56" s="5" t="s">
        <v>16</v>
      </c>
    </row>
    <row r="57" spans="1:18" s="5" customFormat="1" x14ac:dyDescent="0.3">
      <c r="A57" s="5" t="s">
        <v>366</v>
      </c>
      <c r="B57" s="5" t="s">
        <v>44</v>
      </c>
      <c r="C57" s="5" t="s">
        <v>44</v>
      </c>
      <c r="D57" s="5" t="s">
        <v>55</v>
      </c>
      <c r="E57" s="5" t="s">
        <v>44</v>
      </c>
      <c r="F57" s="5" t="s">
        <v>44</v>
      </c>
      <c r="G57" s="5" t="s">
        <v>44</v>
      </c>
      <c r="H57" s="5" t="s">
        <v>55</v>
      </c>
      <c r="I57" s="5" t="s">
        <v>55</v>
      </c>
      <c r="J57" s="5" t="s">
        <v>30</v>
      </c>
      <c r="K57" s="6">
        <f t="shared" si="1"/>
        <v>0</v>
      </c>
      <c r="L57" s="5" t="s">
        <v>55</v>
      </c>
      <c r="M57" s="5" t="s">
        <v>44</v>
      </c>
      <c r="N57" s="5" t="s">
        <v>44</v>
      </c>
      <c r="O57" s="5" t="s">
        <v>44</v>
      </c>
      <c r="P57" s="5" t="s">
        <v>55</v>
      </c>
      <c r="Q57" s="5" t="s">
        <v>55</v>
      </c>
      <c r="R57" s="5" t="s">
        <v>30</v>
      </c>
    </row>
    <row r="58" spans="1:18" s="5" customFormat="1" x14ac:dyDescent="0.3">
      <c r="A58" s="5" t="s">
        <v>367</v>
      </c>
      <c r="B58" s="5" t="s">
        <v>30</v>
      </c>
      <c r="C58" s="5" t="s">
        <v>30</v>
      </c>
      <c r="D58" s="5" t="s">
        <v>30</v>
      </c>
      <c r="E58" s="5" t="s">
        <v>30</v>
      </c>
      <c r="F58" s="5" t="s">
        <v>44</v>
      </c>
      <c r="G58" s="5" t="s">
        <v>30</v>
      </c>
      <c r="H58" s="5" t="s">
        <v>44</v>
      </c>
      <c r="I58" s="5" t="s">
        <v>30</v>
      </c>
      <c r="J58" s="5" t="s">
        <v>30</v>
      </c>
      <c r="K58" s="6">
        <f t="shared" si="1"/>
        <v>0</v>
      </c>
      <c r="L58" s="5" t="s">
        <v>30</v>
      </c>
      <c r="M58" s="5" t="s">
        <v>30</v>
      </c>
      <c r="N58" s="5" t="s">
        <v>44</v>
      </c>
      <c r="O58" s="5" t="s">
        <v>30</v>
      </c>
      <c r="P58" s="5" t="s">
        <v>44</v>
      </c>
      <c r="Q58" s="5" t="s">
        <v>30</v>
      </c>
      <c r="R58" s="5" t="s">
        <v>30</v>
      </c>
    </row>
    <row r="59" spans="1:18" s="5" customFormat="1" x14ac:dyDescent="0.3">
      <c r="A59" s="5" t="s">
        <v>368</v>
      </c>
      <c r="B59" s="5" t="s">
        <v>44</v>
      </c>
      <c r="C59" s="5" t="s">
        <v>44</v>
      </c>
      <c r="D59" s="5" t="s">
        <v>55</v>
      </c>
      <c r="E59" s="5" t="s">
        <v>179</v>
      </c>
      <c r="F59" s="5" t="s">
        <v>56</v>
      </c>
      <c r="G59" s="5" t="s">
        <v>55</v>
      </c>
      <c r="H59" s="5" t="s">
        <v>55</v>
      </c>
      <c r="I59" s="5" t="s">
        <v>55</v>
      </c>
      <c r="J59" s="5" t="s">
        <v>55</v>
      </c>
      <c r="K59" s="6">
        <f t="shared" si="1"/>
        <v>0</v>
      </c>
      <c r="L59" s="5" t="s">
        <v>55</v>
      </c>
      <c r="M59" s="5" t="s">
        <v>179</v>
      </c>
      <c r="N59" s="5" t="s">
        <v>56</v>
      </c>
      <c r="O59" s="5" t="s">
        <v>55</v>
      </c>
      <c r="P59" s="5" t="s">
        <v>55</v>
      </c>
      <c r="Q59" s="5" t="s">
        <v>55</v>
      </c>
      <c r="R59" s="5" t="s">
        <v>55</v>
      </c>
    </row>
    <row r="60" spans="1:18" s="5" customFormat="1" x14ac:dyDescent="0.3">
      <c r="A60" s="5" t="s">
        <v>369</v>
      </c>
      <c r="B60" s="5" t="s">
        <v>30</v>
      </c>
      <c r="C60" s="5" t="s">
        <v>30</v>
      </c>
      <c r="D60" s="5" t="s">
        <v>30</v>
      </c>
      <c r="E60" s="5" t="s">
        <v>30</v>
      </c>
      <c r="F60" s="5" t="s">
        <v>30</v>
      </c>
      <c r="G60" s="5" t="s">
        <v>30</v>
      </c>
      <c r="H60" s="5" t="s">
        <v>55</v>
      </c>
      <c r="I60" s="5" t="s">
        <v>30</v>
      </c>
      <c r="J60" s="5" t="s">
        <v>179</v>
      </c>
      <c r="K60" s="6">
        <f t="shared" si="1"/>
        <v>0</v>
      </c>
      <c r="L60" s="5" t="s">
        <v>30</v>
      </c>
      <c r="M60" s="5" t="s">
        <v>30</v>
      </c>
      <c r="N60" s="5" t="s">
        <v>30</v>
      </c>
      <c r="O60" s="5" t="s">
        <v>30</v>
      </c>
      <c r="P60" s="5" t="s">
        <v>55</v>
      </c>
      <c r="Q60" s="5" t="s">
        <v>30</v>
      </c>
      <c r="R60" s="5" t="s">
        <v>179</v>
      </c>
    </row>
    <row r="61" spans="1:18" s="5" customFormat="1" x14ac:dyDescent="0.3">
      <c r="A61" s="5" t="s">
        <v>370</v>
      </c>
      <c r="B61" s="5" t="s">
        <v>37</v>
      </c>
      <c r="C61" s="5" t="s">
        <v>37</v>
      </c>
      <c r="D61" s="5" t="s">
        <v>30</v>
      </c>
      <c r="E61" s="5" t="s">
        <v>44</v>
      </c>
      <c r="F61" s="5" t="s">
        <v>44</v>
      </c>
      <c r="G61" s="5" t="s">
        <v>30</v>
      </c>
      <c r="H61" s="5" t="s">
        <v>30</v>
      </c>
      <c r="I61" s="5" t="s">
        <v>30</v>
      </c>
      <c r="J61" s="5" t="s">
        <v>55</v>
      </c>
      <c r="K61" s="6">
        <f t="shared" si="1"/>
        <v>0</v>
      </c>
      <c r="L61" s="5" t="s">
        <v>30</v>
      </c>
      <c r="M61" s="5" t="s">
        <v>44</v>
      </c>
      <c r="N61" s="5" t="s">
        <v>44</v>
      </c>
      <c r="O61" s="5" t="s">
        <v>30</v>
      </c>
      <c r="P61" s="5" t="s">
        <v>30</v>
      </c>
      <c r="Q61" s="5" t="s">
        <v>30</v>
      </c>
      <c r="R61" s="5" t="s">
        <v>55</v>
      </c>
    </row>
    <row r="62" spans="1:18" s="5" customFormat="1" x14ac:dyDescent="0.3">
      <c r="A62" s="5" t="s">
        <v>371</v>
      </c>
      <c r="B62" s="5" t="s">
        <v>16</v>
      </c>
      <c r="C62" s="5" t="s">
        <v>16</v>
      </c>
      <c r="D62" s="5" t="s">
        <v>55</v>
      </c>
      <c r="E62" s="5" t="s">
        <v>16</v>
      </c>
      <c r="F62" s="5" t="s">
        <v>16</v>
      </c>
      <c r="G62" s="5" t="s">
        <v>55</v>
      </c>
      <c r="H62" s="5" t="s">
        <v>30</v>
      </c>
      <c r="I62" s="5" t="s">
        <v>56</v>
      </c>
      <c r="J62" s="5" t="s">
        <v>55</v>
      </c>
      <c r="K62" s="6">
        <f t="shared" si="1"/>
        <v>0</v>
      </c>
      <c r="L62" s="5" t="s">
        <v>55</v>
      </c>
      <c r="M62" s="5" t="s">
        <v>16</v>
      </c>
      <c r="N62" s="5" t="s">
        <v>16</v>
      </c>
      <c r="O62" s="5" t="s">
        <v>55</v>
      </c>
      <c r="P62" s="5" t="s">
        <v>30</v>
      </c>
      <c r="Q62" s="5" t="s">
        <v>56</v>
      </c>
      <c r="R62" s="5" t="s">
        <v>55</v>
      </c>
    </row>
    <row r="63" spans="1:18" s="5" customFormat="1" x14ac:dyDescent="0.3">
      <c r="A63" s="5" t="s">
        <v>372</v>
      </c>
      <c r="B63" s="5" t="s">
        <v>44</v>
      </c>
      <c r="C63" s="5" t="s">
        <v>44</v>
      </c>
      <c r="D63" s="5" t="s">
        <v>55</v>
      </c>
      <c r="E63" s="5" t="s">
        <v>44</v>
      </c>
      <c r="F63" s="5" t="s">
        <v>44</v>
      </c>
      <c r="G63" s="5" t="s">
        <v>44</v>
      </c>
      <c r="H63" s="5" t="s">
        <v>44</v>
      </c>
      <c r="I63" s="5" t="s">
        <v>44</v>
      </c>
      <c r="J63" s="5" t="s">
        <v>44</v>
      </c>
      <c r="K63" s="6">
        <f t="shared" si="1"/>
        <v>0</v>
      </c>
      <c r="L63" s="5" t="s">
        <v>55</v>
      </c>
      <c r="M63" s="5" t="s">
        <v>44</v>
      </c>
      <c r="N63" s="5" t="s">
        <v>44</v>
      </c>
      <c r="O63" s="5" t="s">
        <v>44</v>
      </c>
      <c r="P63" s="5" t="s">
        <v>44</v>
      </c>
      <c r="Q63" s="5" t="s">
        <v>44</v>
      </c>
      <c r="R63" s="5" t="s">
        <v>44</v>
      </c>
    </row>
    <row r="64" spans="1:18" s="5" customFormat="1" x14ac:dyDescent="0.3">
      <c r="A64" s="5" t="s">
        <v>373</v>
      </c>
      <c r="B64" s="5" t="s">
        <v>44</v>
      </c>
      <c r="C64" s="5" t="s">
        <v>44</v>
      </c>
      <c r="D64" s="5" t="s">
        <v>30</v>
      </c>
      <c r="E64" s="5" t="s">
        <v>44</v>
      </c>
      <c r="F64" s="5" t="s">
        <v>44</v>
      </c>
      <c r="G64" s="5" t="s">
        <v>30</v>
      </c>
      <c r="H64" s="5" t="s">
        <v>30</v>
      </c>
      <c r="I64" s="5" t="s">
        <v>30</v>
      </c>
      <c r="J64" s="5" t="s">
        <v>30</v>
      </c>
      <c r="K64" s="6">
        <f t="shared" si="1"/>
        <v>0</v>
      </c>
      <c r="L64" s="5" t="s">
        <v>30</v>
      </c>
      <c r="M64" s="5" t="s">
        <v>44</v>
      </c>
      <c r="N64" s="5" t="s">
        <v>44</v>
      </c>
      <c r="O64" s="5" t="s">
        <v>30</v>
      </c>
      <c r="P64" s="5" t="s">
        <v>30</v>
      </c>
      <c r="Q64" s="5" t="s">
        <v>30</v>
      </c>
      <c r="R64" s="5" t="s">
        <v>30</v>
      </c>
    </row>
    <row r="65" spans="1:18" s="5" customFormat="1" x14ac:dyDescent="0.3">
      <c r="A65" s="5" t="s">
        <v>374</v>
      </c>
      <c r="B65" s="5" t="s">
        <v>44</v>
      </c>
      <c r="C65" s="5" t="s">
        <v>44</v>
      </c>
      <c r="D65" s="5" t="s">
        <v>44</v>
      </c>
      <c r="E65" s="5" t="s">
        <v>44</v>
      </c>
      <c r="F65" s="5" t="s">
        <v>55</v>
      </c>
      <c r="G65" s="5" t="s">
        <v>44</v>
      </c>
      <c r="H65" s="5" t="s">
        <v>44</v>
      </c>
      <c r="I65" s="5" t="s">
        <v>56</v>
      </c>
      <c r="J65" s="5" t="s">
        <v>44</v>
      </c>
      <c r="K65" s="6">
        <f t="shared" si="1"/>
        <v>0</v>
      </c>
      <c r="L65" s="5" t="s">
        <v>44</v>
      </c>
      <c r="M65" s="5" t="s">
        <v>44</v>
      </c>
      <c r="N65" s="5" t="s">
        <v>55</v>
      </c>
      <c r="O65" s="5" t="s">
        <v>44</v>
      </c>
      <c r="P65" s="5" t="s">
        <v>44</v>
      </c>
      <c r="Q65" s="5" t="s">
        <v>56</v>
      </c>
      <c r="R65" s="5" t="s">
        <v>44</v>
      </c>
    </row>
    <row r="66" spans="1:18" s="5" customFormat="1" x14ac:dyDescent="0.3">
      <c r="A66" s="5" t="s">
        <v>375</v>
      </c>
      <c r="B66" s="5" t="s">
        <v>30</v>
      </c>
      <c r="C66" s="5" t="s">
        <v>30</v>
      </c>
      <c r="D66" s="5" t="s">
        <v>55</v>
      </c>
      <c r="E66" s="5" t="s">
        <v>30</v>
      </c>
      <c r="F66" s="5" t="s">
        <v>30</v>
      </c>
      <c r="G66" s="5" t="s">
        <v>30</v>
      </c>
      <c r="H66" s="5" t="s">
        <v>30</v>
      </c>
      <c r="I66" s="5" t="s">
        <v>30</v>
      </c>
      <c r="J66" s="5" t="s">
        <v>30</v>
      </c>
      <c r="K66" s="6">
        <f t="shared" ref="K66:K97" si="2">IF(AND(B66=C66,C66=D66,D66=E66,E66=F66,F66=G66,G66=H66,H66=I66,I66=J66), 1, 0)</f>
        <v>0</v>
      </c>
      <c r="L66" s="5" t="s">
        <v>55</v>
      </c>
      <c r="M66" s="5" t="s">
        <v>30</v>
      </c>
      <c r="N66" s="5" t="s">
        <v>30</v>
      </c>
      <c r="O66" s="5" t="s">
        <v>30</v>
      </c>
      <c r="P66" s="5" t="s">
        <v>30</v>
      </c>
      <c r="Q66" s="5" t="s">
        <v>30</v>
      </c>
      <c r="R66" s="5" t="s">
        <v>30</v>
      </c>
    </row>
    <row r="67" spans="1:18" s="5" customFormat="1" x14ac:dyDescent="0.3">
      <c r="A67" s="5" t="s">
        <v>376</v>
      </c>
      <c r="B67" s="5" t="s">
        <v>30</v>
      </c>
      <c r="C67" s="5" t="s">
        <v>30</v>
      </c>
      <c r="D67" s="5" t="s">
        <v>55</v>
      </c>
      <c r="E67" s="5" t="s">
        <v>30</v>
      </c>
      <c r="F67" s="5" t="s">
        <v>30</v>
      </c>
      <c r="G67" s="5" t="s">
        <v>30</v>
      </c>
      <c r="H67" s="5" t="s">
        <v>30</v>
      </c>
      <c r="I67" s="5" t="s">
        <v>30</v>
      </c>
      <c r="J67" s="5" t="s">
        <v>30</v>
      </c>
      <c r="K67" s="6">
        <f t="shared" si="2"/>
        <v>0</v>
      </c>
      <c r="L67" s="5" t="s">
        <v>55</v>
      </c>
      <c r="M67" s="5" t="s">
        <v>30</v>
      </c>
      <c r="N67" s="5" t="s">
        <v>30</v>
      </c>
      <c r="O67" s="5" t="s">
        <v>30</v>
      </c>
      <c r="P67" s="5" t="s">
        <v>30</v>
      </c>
      <c r="Q67" s="5" t="s">
        <v>30</v>
      </c>
      <c r="R67" s="5" t="s">
        <v>30</v>
      </c>
    </row>
    <row r="68" spans="1:18" s="5" customFormat="1" x14ac:dyDescent="0.3">
      <c r="A68" s="5" t="s">
        <v>377</v>
      </c>
      <c r="B68" s="5" t="s">
        <v>30</v>
      </c>
      <c r="C68" s="5" t="s">
        <v>30</v>
      </c>
      <c r="D68" s="5" t="s">
        <v>55</v>
      </c>
      <c r="E68" s="5" t="s">
        <v>179</v>
      </c>
      <c r="F68" s="5" t="s">
        <v>30</v>
      </c>
      <c r="G68" s="5" t="s">
        <v>55</v>
      </c>
      <c r="H68" s="5" t="s">
        <v>55</v>
      </c>
      <c r="I68" s="5" t="s">
        <v>55</v>
      </c>
      <c r="J68" s="5" t="s">
        <v>55</v>
      </c>
      <c r="K68" s="6">
        <f t="shared" si="2"/>
        <v>0</v>
      </c>
      <c r="L68" s="5" t="s">
        <v>55</v>
      </c>
      <c r="M68" s="5" t="s">
        <v>179</v>
      </c>
      <c r="N68" s="5" t="s">
        <v>30</v>
      </c>
      <c r="O68" s="5" t="s">
        <v>55</v>
      </c>
      <c r="P68" s="5" t="s">
        <v>55</v>
      </c>
      <c r="Q68" s="5" t="s">
        <v>55</v>
      </c>
      <c r="R68" s="5" t="s">
        <v>55</v>
      </c>
    </row>
    <row r="69" spans="1:18" s="5" customFormat="1" x14ac:dyDescent="0.3">
      <c r="A69" s="5" t="s">
        <v>378</v>
      </c>
      <c r="B69" s="5" t="s">
        <v>37</v>
      </c>
      <c r="C69" s="5" t="s">
        <v>37</v>
      </c>
      <c r="D69" s="5" t="s">
        <v>55</v>
      </c>
      <c r="E69" s="5" t="s">
        <v>44</v>
      </c>
      <c r="F69" s="5" t="s">
        <v>30</v>
      </c>
      <c r="G69" s="5" t="s">
        <v>37</v>
      </c>
      <c r="H69" s="5" t="s">
        <v>55</v>
      </c>
      <c r="I69" s="5" t="s">
        <v>37</v>
      </c>
      <c r="J69" s="5" t="s">
        <v>179</v>
      </c>
      <c r="K69" s="6">
        <f t="shared" si="2"/>
        <v>0</v>
      </c>
      <c r="L69" s="5" t="s">
        <v>55</v>
      </c>
      <c r="M69" s="5" t="s">
        <v>44</v>
      </c>
      <c r="N69" s="5" t="s">
        <v>30</v>
      </c>
      <c r="O69" s="5" t="s">
        <v>37</v>
      </c>
      <c r="P69" s="5" t="s">
        <v>55</v>
      </c>
      <c r="Q69" s="5" t="s">
        <v>37</v>
      </c>
      <c r="R69" s="5" t="s">
        <v>179</v>
      </c>
    </row>
    <row r="70" spans="1:18" s="5" customFormat="1" x14ac:dyDescent="0.3">
      <c r="A70" s="5" t="s">
        <v>379</v>
      </c>
      <c r="B70" s="5" t="s">
        <v>30</v>
      </c>
      <c r="C70" s="5" t="s">
        <v>30</v>
      </c>
      <c r="D70" s="5" t="s">
        <v>56</v>
      </c>
      <c r="E70" s="5" t="s">
        <v>30</v>
      </c>
      <c r="F70" s="5" t="s">
        <v>30</v>
      </c>
      <c r="G70" s="5" t="s">
        <v>30</v>
      </c>
      <c r="H70" s="5" t="s">
        <v>56</v>
      </c>
      <c r="I70" s="5" t="s">
        <v>56</v>
      </c>
      <c r="J70" s="5" t="s">
        <v>30</v>
      </c>
      <c r="K70" s="6">
        <f t="shared" si="2"/>
        <v>0</v>
      </c>
      <c r="L70" s="5" t="s">
        <v>56</v>
      </c>
      <c r="M70" s="5" t="s">
        <v>30</v>
      </c>
      <c r="N70" s="5" t="s">
        <v>30</v>
      </c>
      <c r="O70" s="5" t="s">
        <v>30</v>
      </c>
      <c r="P70" s="5" t="s">
        <v>56</v>
      </c>
      <c r="Q70" s="5" t="s">
        <v>56</v>
      </c>
      <c r="R70" s="5" t="s">
        <v>30</v>
      </c>
    </row>
    <row r="71" spans="1:18" s="5" customFormat="1" x14ac:dyDescent="0.3">
      <c r="A71" s="5" t="s">
        <v>380</v>
      </c>
      <c r="B71" s="5" t="s">
        <v>179</v>
      </c>
      <c r="C71" s="5" t="s">
        <v>179</v>
      </c>
      <c r="D71" s="5" t="s">
        <v>30</v>
      </c>
      <c r="E71" s="5" t="s">
        <v>30</v>
      </c>
      <c r="F71" s="5" t="s">
        <v>30</v>
      </c>
      <c r="G71" s="5" t="s">
        <v>30</v>
      </c>
      <c r="H71" s="5" t="s">
        <v>16</v>
      </c>
      <c r="I71" s="5" t="s">
        <v>30</v>
      </c>
      <c r="J71" s="5" t="s">
        <v>30</v>
      </c>
      <c r="K71" s="6">
        <f t="shared" si="2"/>
        <v>0</v>
      </c>
      <c r="L71" s="5" t="s">
        <v>30</v>
      </c>
      <c r="M71" s="5" t="s">
        <v>30</v>
      </c>
      <c r="N71" s="5" t="s">
        <v>30</v>
      </c>
      <c r="O71" s="5" t="s">
        <v>30</v>
      </c>
      <c r="P71" s="5" t="s">
        <v>16</v>
      </c>
      <c r="Q71" s="5" t="s">
        <v>30</v>
      </c>
      <c r="R71" s="5" t="s">
        <v>30</v>
      </c>
    </row>
    <row r="72" spans="1:18" s="5" customFormat="1" x14ac:dyDescent="0.3">
      <c r="A72" s="5" t="s">
        <v>381</v>
      </c>
      <c r="B72" s="5" t="s">
        <v>37</v>
      </c>
      <c r="C72" s="5" t="s">
        <v>37</v>
      </c>
      <c r="D72" s="5" t="s">
        <v>37</v>
      </c>
      <c r="E72" s="5" t="s">
        <v>37</v>
      </c>
      <c r="F72" s="5" t="s">
        <v>37</v>
      </c>
      <c r="G72" s="5" t="s">
        <v>37</v>
      </c>
      <c r="H72" s="5" t="s">
        <v>55</v>
      </c>
      <c r="I72" s="5" t="s">
        <v>37</v>
      </c>
      <c r="J72" s="5" t="s">
        <v>37</v>
      </c>
      <c r="K72" s="6">
        <f t="shared" si="2"/>
        <v>0</v>
      </c>
      <c r="L72" s="5" t="s">
        <v>37</v>
      </c>
      <c r="M72" s="5" t="s">
        <v>37</v>
      </c>
      <c r="N72" s="5" t="s">
        <v>37</v>
      </c>
      <c r="O72" s="5" t="s">
        <v>37</v>
      </c>
      <c r="P72" s="5" t="s">
        <v>55</v>
      </c>
      <c r="Q72" s="5" t="s">
        <v>37</v>
      </c>
      <c r="R72" s="5" t="s">
        <v>37</v>
      </c>
    </row>
    <row r="73" spans="1:18" s="5" customFormat="1" x14ac:dyDescent="0.3">
      <c r="A73" s="5" t="s">
        <v>382</v>
      </c>
      <c r="B73" s="5" t="s">
        <v>37</v>
      </c>
      <c r="C73" s="5" t="s">
        <v>37</v>
      </c>
      <c r="D73" s="5" t="s">
        <v>55</v>
      </c>
      <c r="E73" s="5" t="s">
        <v>37</v>
      </c>
      <c r="F73" s="5" t="s">
        <v>37</v>
      </c>
      <c r="G73" s="5" t="s">
        <v>55</v>
      </c>
      <c r="H73" s="5" t="s">
        <v>44</v>
      </c>
      <c r="I73" s="5" t="s">
        <v>30</v>
      </c>
      <c r="J73" s="5" t="s">
        <v>37</v>
      </c>
      <c r="K73" s="6">
        <f t="shared" si="2"/>
        <v>0</v>
      </c>
      <c r="L73" s="5" t="s">
        <v>55</v>
      </c>
      <c r="M73" s="5" t="s">
        <v>37</v>
      </c>
      <c r="N73" s="5" t="s">
        <v>37</v>
      </c>
      <c r="O73" s="5" t="s">
        <v>55</v>
      </c>
      <c r="P73" s="5" t="s">
        <v>44</v>
      </c>
      <c r="Q73" s="5" t="s">
        <v>30</v>
      </c>
      <c r="R73" s="5" t="s">
        <v>37</v>
      </c>
    </row>
    <row r="74" spans="1:18" s="5" customFormat="1" x14ac:dyDescent="0.3">
      <c r="A74" s="5" t="s">
        <v>305</v>
      </c>
      <c r="B74" s="5" t="s">
        <v>44</v>
      </c>
      <c r="C74" s="5" t="s">
        <v>44</v>
      </c>
      <c r="D74" s="5" t="s">
        <v>30</v>
      </c>
      <c r="E74" s="5" t="s">
        <v>44</v>
      </c>
      <c r="F74" s="5" t="s">
        <v>44</v>
      </c>
      <c r="G74" s="5" t="s">
        <v>44</v>
      </c>
      <c r="H74" s="5" t="s">
        <v>30</v>
      </c>
      <c r="I74" s="5" t="s">
        <v>30</v>
      </c>
      <c r="J74" s="5" t="s">
        <v>30</v>
      </c>
      <c r="K74" s="6">
        <f t="shared" si="2"/>
        <v>0</v>
      </c>
      <c r="L74" s="5" t="s">
        <v>30</v>
      </c>
      <c r="M74" s="5" t="s">
        <v>44</v>
      </c>
      <c r="N74" s="5" t="s">
        <v>44</v>
      </c>
      <c r="O74" s="5" t="s">
        <v>44</v>
      </c>
      <c r="P74" s="5" t="s">
        <v>30</v>
      </c>
      <c r="Q74" s="5" t="s">
        <v>30</v>
      </c>
      <c r="R74" s="5" t="s">
        <v>30</v>
      </c>
    </row>
    <row r="75" spans="1:18" s="5" customFormat="1" x14ac:dyDescent="0.3">
      <c r="A75" s="5" t="s">
        <v>304</v>
      </c>
      <c r="B75" s="5" t="s">
        <v>30</v>
      </c>
      <c r="C75" s="5" t="s">
        <v>30</v>
      </c>
      <c r="D75" s="5" t="s">
        <v>55</v>
      </c>
      <c r="E75" s="5" t="s">
        <v>30</v>
      </c>
      <c r="F75" s="5" t="s">
        <v>30</v>
      </c>
      <c r="G75" s="5" t="s">
        <v>30</v>
      </c>
      <c r="H75" s="5" t="s">
        <v>44</v>
      </c>
      <c r="I75" s="5" t="s">
        <v>37</v>
      </c>
      <c r="J75" s="5" t="s">
        <v>30</v>
      </c>
      <c r="K75" s="6">
        <f t="shared" si="2"/>
        <v>0</v>
      </c>
      <c r="L75" s="5" t="s">
        <v>55</v>
      </c>
      <c r="M75" s="5" t="s">
        <v>30</v>
      </c>
      <c r="N75" s="5" t="s">
        <v>30</v>
      </c>
      <c r="O75" s="5" t="s">
        <v>30</v>
      </c>
      <c r="P75" s="5" t="s">
        <v>44</v>
      </c>
      <c r="Q75" s="5" t="s">
        <v>37</v>
      </c>
      <c r="R75" s="5" t="s">
        <v>30</v>
      </c>
    </row>
    <row r="76" spans="1:18" s="5" customFormat="1" x14ac:dyDescent="0.3">
      <c r="A76" s="5" t="s">
        <v>303</v>
      </c>
      <c r="B76" s="5" t="s">
        <v>16</v>
      </c>
      <c r="C76" s="5" t="s">
        <v>16</v>
      </c>
      <c r="D76" s="5" t="s">
        <v>55</v>
      </c>
      <c r="E76" s="5" t="s">
        <v>16</v>
      </c>
      <c r="F76" s="5" t="s">
        <v>30</v>
      </c>
      <c r="G76" s="5" t="s">
        <v>55</v>
      </c>
      <c r="H76" s="5" t="s">
        <v>24</v>
      </c>
      <c r="I76" s="5" t="s">
        <v>30</v>
      </c>
      <c r="J76" s="5" t="s">
        <v>179</v>
      </c>
      <c r="K76" s="6">
        <f t="shared" si="2"/>
        <v>0</v>
      </c>
      <c r="L76" s="5" t="s">
        <v>55</v>
      </c>
      <c r="M76" s="5" t="s">
        <v>16</v>
      </c>
      <c r="N76" s="5" t="s">
        <v>30</v>
      </c>
      <c r="O76" s="5" t="s">
        <v>55</v>
      </c>
      <c r="P76" s="5" t="s">
        <v>24</v>
      </c>
      <c r="Q76" s="5" t="s">
        <v>30</v>
      </c>
      <c r="R76" s="5" t="s">
        <v>179</v>
      </c>
    </row>
    <row r="77" spans="1:18" s="5" customFormat="1" x14ac:dyDescent="0.3">
      <c r="A77" s="5" t="s">
        <v>302</v>
      </c>
      <c r="B77" s="5" t="s">
        <v>30</v>
      </c>
      <c r="C77" s="5" t="s">
        <v>30</v>
      </c>
      <c r="D77" s="5" t="s">
        <v>30</v>
      </c>
      <c r="E77" s="5" t="s">
        <v>30</v>
      </c>
      <c r="F77" s="5" t="s">
        <v>30</v>
      </c>
      <c r="G77" s="5" t="s">
        <v>30</v>
      </c>
      <c r="H77" s="5" t="s">
        <v>55</v>
      </c>
      <c r="I77" s="5" t="s">
        <v>37</v>
      </c>
      <c r="J77" s="5" t="s">
        <v>30</v>
      </c>
      <c r="K77" s="6">
        <f t="shared" si="2"/>
        <v>0</v>
      </c>
      <c r="L77" s="5" t="s">
        <v>30</v>
      </c>
      <c r="M77" s="5" t="s">
        <v>30</v>
      </c>
      <c r="N77" s="5" t="s">
        <v>30</v>
      </c>
      <c r="O77" s="5" t="s">
        <v>30</v>
      </c>
      <c r="P77" s="5" t="s">
        <v>55</v>
      </c>
      <c r="Q77" s="5" t="s">
        <v>37</v>
      </c>
      <c r="R77" s="5" t="s">
        <v>30</v>
      </c>
    </row>
    <row r="78" spans="1:18" x14ac:dyDescent="0.3">
      <c r="A78" t="s">
        <v>301</v>
      </c>
      <c r="B78" t="s">
        <v>300</v>
      </c>
      <c r="C78" t="s">
        <v>37</v>
      </c>
      <c r="D78" t="s">
        <v>37</v>
      </c>
      <c r="E78" t="s">
        <v>37</v>
      </c>
      <c r="F78" t="s">
        <v>37</v>
      </c>
      <c r="G78" t="s">
        <v>37</v>
      </c>
      <c r="H78" t="s">
        <v>37</v>
      </c>
      <c r="I78" t="s">
        <v>37</v>
      </c>
      <c r="J78" t="s">
        <v>37</v>
      </c>
      <c r="K78" s="2">
        <f t="shared" si="2"/>
        <v>1</v>
      </c>
      <c r="L78" t="s">
        <v>37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37</v>
      </c>
    </row>
    <row r="79" spans="1:18" x14ac:dyDescent="0.3">
      <c r="A79" t="s">
        <v>299</v>
      </c>
      <c r="B79" t="s">
        <v>37</v>
      </c>
      <c r="C79" t="s">
        <v>37</v>
      </c>
      <c r="D79" t="s">
        <v>37</v>
      </c>
      <c r="E79" t="s">
        <v>37</v>
      </c>
      <c r="F79" t="s">
        <v>37</v>
      </c>
      <c r="G79" t="s">
        <v>37</v>
      </c>
      <c r="H79" t="s">
        <v>37</v>
      </c>
      <c r="I79" t="s">
        <v>37</v>
      </c>
      <c r="J79" t="s">
        <v>37</v>
      </c>
      <c r="K79" s="2">
        <f t="shared" si="2"/>
        <v>1</v>
      </c>
      <c r="L79" t="s">
        <v>37</v>
      </c>
      <c r="M79" t="s">
        <v>37</v>
      </c>
      <c r="N79" t="s">
        <v>37</v>
      </c>
      <c r="O79" t="s">
        <v>37</v>
      </c>
      <c r="P79" t="s">
        <v>37</v>
      </c>
      <c r="Q79" t="s">
        <v>37</v>
      </c>
      <c r="R79" t="s">
        <v>37</v>
      </c>
    </row>
    <row r="80" spans="1:18" x14ac:dyDescent="0.3">
      <c r="A80" t="s">
        <v>298</v>
      </c>
      <c r="B80" t="s">
        <v>37</v>
      </c>
      <c r="C80" t="s">
        <v>37</v>
      </c>
      <c r="D80" t="s">
        <v>37</v>
      </c>
      <c r="E80" t="s">
        <v>37</v>
      </c>
      <c r="F80" t="s">
        <v>37</v>
      </c>
      <c r="G80" t="s">
        <v>37</v>
      </c>
      <c r="H80" t="s">
        <v>37</v>
      </c>
      <c r="I80" t="s">
        <v>37</v>
      </c>
      <c r="J80" t="s">
        <v>37</v>
      </c>
      <c r="K80" s="2">
        <f t="shared" si="2"/>
        <v>1</v>
      </c>
      <c r="L80" t="s">
        <v>37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</row>
    <row r="81" spans="1:18" x14ac:dyDescent="0.3">
      <c r="A81" t="s">
        <v>297</v>
      </c>
      <c r="B81" t="s">
        <v>16</v>
      </c>
      <c r="C81" t="s">
        <v>16</v>
      </c>
      <c r="D81" t="s">
        <v>16</v>
      </c>
      <c r="E81" t="s">
        <v>16</v>
      </c>
      <c r="F81" t="s">
        <v>16</v>
      </c>
      <c r="G81" t="s">
        <v>16</v>
      </c>
      <c r="H81" t="s">
        <v>16</v>
      </c>
      <c r="I81" t="s">
        <v>16</v>
      </c>
      <c r="J81" t="s">
        <v>16</v>
      </c>
      <c r="K81" s="2">
        <f t="shared" si="2"/>
        <v>1</v>
      </c>
      <c r="L81" t="s">
        <v>16</v>
      </c>
      <c r="M81" t="s">
        <v>16</v>
      </c>
      <c r="N81" t="s">
        <v>16</v>
      </c>
      <c r="O81" t="s">
        <v>16</v>
      </c>
      <c r="P81" t="s">
        <v>16</v>
      </c>
      <c r="Q81" t="s">
        <v>16</v>
      </c>
      <c r="R81" t="s">
        <v>16</v>
      </c>
    </row>
    <row r="82" spans="1:18" x14ac:dyDescent="0.3">
      <c r="A82" t="s">
        <v>296</v>
      </c>
      <c r="B82" t="s">
        <v>44</v>
      </c>
      <c r="C82" t="s">
        <v>44</v>
      </c>
      <c r="D82" t="s">
        <v>44</v>
      </c>
      <c r="E82" t="s">
        <v>44</v>
      </c>
      <c r="F82" t="s">
        <v>44</v>
      </c>
      <c r="G82" t="s">
        <v>44</v>
      </c>
      <c r="H82" t="s">
        <v>44</v>
      </c>
      <c r="I82" t="s">
        <v>44</v>
      </c>
      <c r="J82" t="s">
        <v>44</v>
      </c>
      <c r="K82" s="2">
        <f t="shared" si="2"/>
        <v>1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</row>
    <row r="83" spans="1:18" x14ac:dyDescent="0.3">
      <c r="A83" t="s">
        <v>295</v>
      </c>
      <c r="B83" t="s">
        <v>30</v>
      </c>
      <c r="C83" t="s">
        <v>30</v>
      </c>
      <c r="D83" t="s">
        <v>30</v>
      </c>
      <c r="E83" t="s">
        <v>30</v>
      </c>
      <c r="F83" t="s">
        <v>30</v>
      </c>
      <c r="G83" t="s">
        <v>30</v>
      </c>
      <c r="H83" t="s">
        <v>30</v>
      </c>
      <c r="I83" t="s">
        <v>30</v>
      </c>
      <c r="J83" t="s">
        <v>30</v>
      </c>
      <c r="K83" s="2">
        <f t="shared" si="2"/>
        <v>1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30</v>
      </c>
      <c r="R83" t="s">
        <v>30</v>
      </c>
    </row>
    <row r="84" spans="1:18" x14ac:dyDescent="0.3">
      <c r="A84" t="s">
        <v>294</v>
      </c>
      <c r="B84" t="s">
        <v>30</v>
      </c>
      <c r="C84" t="s">
        <v>30</v>
      </c>
      <c r="D84" t="s">
        <v>30</v>
      </c>
      <c r="E84" t="s">
        <v>30</v>
      </c>
      <c r="F84" t="s">
        <v>30</v>
      </c>
      <c r="G84" t="s">
        <v>30</v>
      </c>
      <c r="H84" t="s">
        <v>30</v>
      </c>
      <c r="I84" t="s">
        <v>30</v>
      </c>
      <c r="J84" t="s">
        <v>30</v>
      </c>
      <c r="K84" s="2">
        <f t="shared" si="2"/>
        <v>1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30</v>
      </c>
      <c r="R84" t="s">
        <v>30</v>
      </c>
    </row>
    <row r="85" spans="1:18" x14ac:dyDescent="0.3">
      <c r="A85" t="s">
        <v>293</v>
      </c>
      <c r="B85" t="s">
        <v>44</v>
      </c>
      <c r="C85" t="s">
        <v>44</v>
      </c>
      <c r="D85" t="s">
        <v>44</v>
      </c>
      <c r="E85" t="s">
        <v>44</v>
      </c>
      <c r="F85" t="s">
        <v>44</v>
      </c>
      <c r="G85" t="s">
        <v>44</v>
      </c>
      <c r="H85" t="s">
        <v>44</v>
      </c>
      <c r="I85" t="s">
        <v>44</v>
      </c>
      <c r="J85" t="s">
        <v>44</v>
      </c>
      <c r="K85" s="2">
        <f t="shared" si="2"/>
        <v>1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</row>
    <row r="86" spans="1:18" x14ac:dyDescent="0.3">
      <c r="A86" t="s">
        <v>292</v>
      </c>
      <c r="B86" t="s">
        <v>16</v>
      </c>
      <c r="C86" t="s">
        <v>16</v>
      </c>
      <c r="D86" t="s">
        <v>16</v>
      </c>
      <c r="E86" t="s">
        <v>16</v>
      </c>
      <c r="F86" t="s">
        <v>16</v>
      </c>
      <c r="G86" t="s">
        <v>16</v>
      </c>
      <c r="H86" t="s">
        <v>16</v>
      </c>
      <c r="I86" t="s">
        <v>16</v>
      </c>
      <c r="J86" t="s">
        <v>16</v>
      </c>
      <c r="K86" s="2">
        <f t="shared" si="2"/>
        <v>1</v>
      </c>
      <c r="L86" t="s">
        <v>16</v>
      </c>
      <c r="M86" t="s">
        <v>16</v>
      </c>
      <c r="N86" t="s">
        <v>16</v>
      </c>
      <c r="O86" t="s">
        <v>16</v>
      </c>
      <c r="P86" t="s">
        <v>16</v>
      </c>
      <c r="Q86" t="s">
        <v>16</v>
      </c>
      <c r="R86" t="s">
        <v>16</v>
      </c>
    </row>
    <row r="87" spans="1:18" x14ac:dyDescent="0.3">
      <c r="A87" t="s">
        <v>291</v>
      </c>
      <c r="B87" t="s">
        <v>44</v>
      </c>
      <c r="C87" t="s">
        <v>44</v>
      </c>
      <c r="D87" t="s">
        <v>44</v>
      </c>
      <c r="E87" t="s">
        <v>44</v>
      </c>
      <c r="F87" t="s">
        <v>44</v>
      </c>
      <c r="G87" t="s">
        <v>44</v>
      </c>
      <c r="H87" t="s">
        <v>44</v>
      </c>
      <c r="I87" t="s">
        <v>44</v>
      </c>
      <c r="J87" t="s">
        <v>44</v>
      </c>
      <c r="K87" s="2">
        <f t="shared" si="2"/>
        <v>1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</row>
    <row r="88" spans="1:18" x14ac:dyDescent="0.3">
      <c r="A88" t="s">
        <v>290</v>
      </c>
      <c r="B88" t="s">
        <v>30</v>
      </c>
      <c r="C88" t="s">
        <v>30</v>
      </c>
      <c r="D88" t="s">
        <v>30</v>
      </c>
      <c r="E88" t="s">
        <v>30</v>
      </c>
      <c r="F88" t="s">
        <v>30</v>
      </c>
      <c r="G88" t="s">
        <v>30</v>
      </c>
      <c r="H88" t="s">
        <v>30</v>
      </c>
      <c r="I88" t="s">
        <v>30</v>
      </c>
      <c r="J88" t="s">
        <v>30</v>
      </c>
      <c r="K88" s="2">
        <f t="shared" si="2"/>
        <v>1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30</v>
      </c>
      <c r="R88" t="s">
        <v>30</v>
      </c>
    </row>
    <row r="89" spans="1:18" x14ac:dyDescent="0.3">
      <c r="A89" t="s">
        <v>289</v>
      </c>
      <c r="B89" t="s">
        <v>37</v>
      </c>
      <c r="C89" t="s">
        <v>37</v>
      </c>
      <c r="D89" t="s">
        <v>37</v>
      </c>
      <c r="E89" t="s">
        <v>37</v>
      </c>
      <c r="F89" t="s">
        <v>37</v>
      </c>
      <c r="G89" t="s">
        <v>37</v>
      </c>
      <c r="H89" t="s">
        <v>37</v>
      </c>
      <c r="I89" t="s">
        <v>37</v>
      </c>
      <c r="J89" t="s">
        <v>37</v>
      </c>
      <c r="K89" s="2">
        <f t="shared" si="2"/>
        <v>1</v>
      </c>
      <c r="L89" t="s">
        <v>37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37</v>
      </c>
    </row>
    <row r="90" spans="1:18" x14ac:dyDescent="0.3">
      <c r="A90" t="s">
        <v>288</v>
      </c>
      <c r="B90" t="s">
        <v>16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16</v>
      </c>
      <c r="I90" t="s">
        <v>16</v>
      </c>
      <c r="J90" t="s">
        <v>16</v>
      </c>
      <c r="K90" s="2">
        <f t="shared" si="2"/>
        <v>1</v>
      </c>
      <c r="L90" t="s">
        <v>16</v>
      </c>
      <c r="M90" t="s">
        <v>16</v>
      </c>
      <c r="N90" t="s">
        <v>16</v>
      </c>
      <c r="O90" t="s">
        <v>16</v>
      </c>
      <c r="P90" t="s">
        <v>16</v>
      </c>
      <c r="Q90" t="s">
        <v>16</v>
      </c>
      <c r="R90" t="s">
        <v>16</v>
      </c>
    </row>
    <row r="91" spans="1:18" x14ac:dyDescent="0.3">
      <c r="A91" t="s">
        <v>287</v>
      </c>
      <c r="B91" t="s">
        <v>30</v>
      </c>
      <c r="C91" t="s">
        <v>30</v>
      </c>
      <c r="D91" t="s">
        <v>30</v>
      </c>
      <c r="E91" t="s">
        <v>30</v>
      </c>
      <c r="F91" t="s">
        <v>30</v>
      </c>
      <c r="G91" t="s">
        <v>30</v>
      </c>
      <c r="H91" t="s">
        <v>30</v>
      </c>
      <c r="I91" t="s">
        <v>30</v>
      </c>
      <c r="J91" t="s">
        <v>30</v>
      </c>
      <c r="K91" s="2">
        <f t="shared" si="2"/>
        <v>1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30</v>
      </c>
      <c r="R91" t="s">
        <v>30</v>
      </c>
    </row>
    <row r="92" spans="1:18" x14ac:dyDescent="0.3">
      <c r="A92" t="s">
        <v>286</v>
      </c>
      <c r="B92" t="s">
        <v>16</v>
      </c>
      <c r="C92" t="s">
        <v>16</v>
      </c>
      <c r="D92" t="s">
        <v>16</v>
      </c>
      <c r="E92" t="s">
        <v>16</v>
      </c>
      <c r="F92" t="s">
        <v>16</v>
      </c>
      <c r="G92" t="s">
        <v>16</v>
      </c>
      <c r="H92" t="s">
        <v>16</v>
      </c>
      <c r="I92" t="s">
        <v>16</v>
      </c>
      <c r="J92" t="s">
        <v>16</v>
      </c>
      <c r="K92" s="2">
        <f t="shared" si="2"/>
        <v>1</v>
      </c>
      <c r="L92" t="s">
        <v>16</v>
      </c>
      <c r="M92" t="s">
        <v>16</v>
      </c>
      <c r="N92" t="s">
        <v>16</v>
      </c>
      <c r="O92" t="s">
        <v>16</v>
      </c>
      <c r="P92" t="s">
        <v>16</v>
      </c>
      <c r="Q92" t="s">
        <v>16</v>
      </c>
      <c r="R92" t="s">
        <v>16</v>
      </c>
    </row>
    <row r="93" spans="1:18" x14ac:dyDescent="0.3">
      <c r="A93" t="s">
        <v>285</v>
      </c>
      <c r="B93" t="s">
        <v>30</v>
      </c>
      <c r="C93" t="s">
        <v>30</v>
      </c>
      <c r="D93" t="s">
        <v>30</v>
      </c>
      <c r="E93" t="s">
        <v>30</v>
      </c>
      <c r="F93" t="s">
        <v>30</v>
      </c>
      <c r="G93" t="s">
        <v>30</v>
      </c>
      <c r="H93" t="s">
        <v>30</v>
      </c>
      <c r="I93" t="s">
        <v>30</v>
      </c>
      <c r="J93" t="s">
        <v>30</v>
      </c>
      <c r="K93" s="2">
        <f t="shared" si="2"/>
        <v>1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30</v>
      </c>
      <c r="R93" t="s">
        <v>30</v>
      </c>
    </row>
    <row r="94" spans="1:18" x14ac:dyDescent="0.3">
      <c r="A94" t="s">
        <v>284</v>
      </c>
      <c r="B94" t="s">
        <v>30</v>
      </c>
      <c r="C94" t="s">
        <v>30</v>
      </c>
      <c r="D94" t="s">
        <v>30</v>
      </c>
      <c r="E94" t="s">
        <v>30</v>
      </c>
      <c r="F94" t="s">
        <v>30</v>
      </c>
      <c r="G94" t="s">
        <v>30</v>
      </c>
      <c r="H94" t="s">
        <v>30</v>
      </c>
      <c r="I94" t="s">
        <v>30</v>
      </c>
      <c r="J94" t="s">
        <v>30</v>
      </c>
      <c r="K94" s="2">
        <f t="shared" si="2"/>
        <v>1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</row>
    <row r="95" spans="1:18" x14ac:dyDescent="0.3">
      <c r="A95" t="s">
        <v>283</v>
      </c>
      <c r="B95" t="s">
        <v>30</v>
      </c>
      <c r="C95" t="s">
        <v>30</v>
      </c>
      <c r="D95" t="s">
        <v>30</v>
      </c>
      <c r="E95" t="s">
        <v>30</v>
      </c>
      <c r="F95" t="s">
        <v>30</v>
      </c>
      <c r="G95" t="s">
        <v>30</v>
      </c>
      <c r="H95" t="s">
        <v>30</v>
      </c>
      <c r="I95" t="s">
        <v>30</v>
      </c>
      <c r="J95" t="s">
        <v>30</v>
      </c>
      <c r="K95" s="2">
        <f t="shared" si="2"/>
        <v>1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30</v>
      </c>
      <c r="R95" t="s">
        <v>30</v>
      </c>
    </row>
    <row r="96" spans="1:18" x14ac:dyDescent="0.3">
      <c r="A96" t="s">
        <v>282</v>
      </c>
      <c r="B96" t="s">
        <v>30</v>
      </c>
      <c r="C96" t="s">
        <v>30</v>
      </c>
      <c r="D96" t="s">
        <v>30</v>
      </c>
      <c r="E96" t="s">
        <v>30</v>
      </c>
      <c r="F96" t="s">
        <v>30</v>
      </c>
      <c r="G96" t="s">
        <v>30</v>
      </c>
      <c r="H96" t="s">
        <v>30</v>
      </c>
      <c r="I96" t="s">
        <v>30</v>
      </c>
      <c r="J96" t="s">
        <v>30</v>
      </c>
      <c r="K96" s="2">
        <f t="shared" si="2"/>
        <v>1</v>
      </c>
      <c r="L96" t="s">
        <v>30</v>
      </c>
      <c r="M96" t="s">
        <v>30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</row>
    <row r="97" spans="1:18" x14ac:dyDescent="0.3">
      <c r="A97" t="s">
        <v>281</v>
      </c>
      <c r="B97" t="s">
        <v>16</v>
      </c>
      <c r="C97" t="s">
        <v>16</v>
      </c>
      <c r="D97" t="s">
        <v>16</v>
      </c>
      <c r="E97" t="s">
        <v>16</v>
      </c>
      <c r="F97" t="s">
        <v>16</v>
      </c>
      <c r="G97" t="s">
        <v>16</v>
      </c>
      <c r="H97" t="s">
        <v>16</v>
      </c>
      <c r="I97" t="s">
        <v>16</v>
      </c>
      <c r="J97" t="s">
        <v>16</v>
      </c>
      <c r="K97" s="2">
        <f t="shared" si="2"/>
        <v>1</v>
      </c>
      <c r="L97" t="s">
        <v>16</v>
      </c>
      <c r="M97" t="s">
        <v>16</v>
      </c>
      <c r="N97" t="s">
        <v>16</v>
      </c>
      <c r="O97" t="s">
        <v>16</v>
      </c>
      <c r="P97" t="s">
        <v>16</v>
      </c>
      <c r="Q97" t="s">
        <v>16</v>
      </c>
      <c r="R97" t="s">
        <v>16</v>
      </c>
    </row>
    <row r="98" spans="1:18" x14ac:dyDescent="0.3">
      <c r="A98" t="s">
        <v>280</v>
      </c>
      <c r="B98" t="s">
        <v>16</v>
      </c>
      <c r="C98" t="s">
        <v>16</v>
      </c>
      <c r="D98" t="s">
        <v>16</v>
      </c>
      <c r="E98" t="s">
        <v>16</v>
      </c>
      <c r="F98" t="s">
        <v>16</v>
      </c>
      <c r="G98" t="s">
        <v>16</v>
      </c>
      <c r="H98" t="s">
        <v>16</v>
      </c>
      <c r="I98" t="s">
        <v>16</v>
      </c>
      <c r="J98" t="s">
        <v>16</v>
      </c>
      <c r="K98" s="2">
        <f t="shared" ref="K98:K121" si="3">IF(AND(B98=C98,C98=D98,D98=E98,E98=F98,F98=G98,G98=H98,H98=I98,I98=J98), 1, 0)</f>
        <v>1</v>
      </c>
      <c r="L98" t="s">
        <v>16</v>
      </c>
      <c r="M98" t="s">
        <v>16</v>
      </c>
      <c r="N98" t="s">
        <v>16</v>
      </c>
      <c r="O98" t="s">
        <v>16</v>
      </c>
      <c r="P98" t="s">
        <v>16</v>
      </c>
      <c r="Q98" t="s">
        <v>16</v>
      </c>
      <c r="R98" t="s">
        <v>16</v>
      </c>
    </row>
    <row r="99" spans="1:18" x14ac:dyDescent="0.3">
      <c r="A99" t="s">
        <v>279</v>
      </c>
      <c r="B99" t="s">
        <v>44</v>
      </c>
      <c r="C99" t="s">
        <v>44</v>
      </c>
      <c r="D99" t="s">
        <v>44</v>
      </c>
      <c r="E99" t="s">
        <v>44</v>
      </c>
      <c r="F99" t="s">
        <v>44</v>
      </c>
      <c r="G99" t="s">
        <v>44</v>
      </c>
      <c r="H99" t="s">
        <v>44</v>
      </c>
      <c r="I99" t="s">
        <v>44</v>
      </c>
      <c r="J99" t="s">
        <v>44</v>
      </c>
      <c r="K99" s="2">
        <f t="shared" si="3"/>
        <v>1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</row>
    <row r="100" spans="1:18" x14ac:dyDescent="0.3">
      <c r="A100" t="s">
        <v>278</v>
      </c>
      <c r="B100" t="s">
        <v>16</v>
      </c>
      <c r="C100" t="s">
        <v>16</v>
      </c>
      <c r="D100" t="s">
        <v>16</v>
      </c>
      <c r="E100" t="s">
        <v>16</v>
      </c>
      <c r="F100" t="s">
        <v>16</v>
      </c>
      <c r="G100" t="s">
        <v>16</v>
      </c>
      <c r="H100" t="s">
        <v>16</v>
      </c>
      <c r="I100" t="s">
        <v>16</v>
      </c>
      <c r="J100" t="s">
        <v>16</v>
      </c>
      <c r="K100" s="2">
        <f t="shared" si="3"/>
        <v>1</v>
      </c>
      <c r="L100" t="s">
        <v>16</v>
      </c>
      <c r="M100" t="s">
        <v>16</v>
      </c>
      <c r="N100" t="s">
        <v>16</v>
      </c>
      <c r="O100" t="s">
        <v>16</v>
      </c>
      <c r="P100" t="s">
        <v>16</v>
      </c>
      <c r="Q100" t="s">
        <v>16</v>
      </c>
      <c r="R100" t="s">
        <v>16</v>
      </c>
    </row>
    <row r="101" spans="1:18" x14ac:dyDescent="0.3">
      <c r="A101" t="s">
        <v>277</v>
      </c>
      <c r="B101" t="s">
        <v>30</v>
      </c>
      <c r="C101" t="s">
        <v>30</v>
      </c>
      <c r="D101" t="s">
        <v>30</v>
      </c>
      <c r="E101" t="s">
        <v>30</v>
      </c>
      <c r="F101" t="s">
        <v>30</v>
      </c>
      <c r="G101" t="s">
        <v>30</v>
      </c>
      <c r="H101" t="s">
        <v>30</v>
      </c>
      <c r="I101" t="s">
        <v>30</v>
      </c>
      <c r="J101" t="s">
        <v>30</v>
      </c>
      <c r="K101" s="2">
        <f t="shared" si="3"/>
        <v>1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30</v>
      </c>
      <c r="R101" t="s">
        <v>30</v>
      </c>
    </row>
    <row r="102" spans="1:18" x14ac:dyDescent="0.3">
      <c r="A102" t="s">
        <v>276</v>
      </c>
      <c r="B102" t="s">
        <v>37</v>
      </c>
      <c r="C102" t="s">
        <v>37</v>
      </c>
      <c r="D102" t="s">
        <v>37</v>
      </c>
      <c r="E102" t="s">
        <v>37</v>
      </c>
      <c r="F102" t="s">
        <v>37</v>
      </c>
      <c r="G102" t="s">
        <v>37</v>
      </c>
      <c r="H102" t="s">
        <v>37</v>
      </c>
      <c r="I102" t="s">
        <v>37</v>
      </c>
      <c r="J102" t="s">
        <v>37</v>
      </c>
      <c r="K102" s="2">
        <f t="shared" si="3"/>
        <v>1</v>
      </c>
      <c r="L102" t="s">
        <v>37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</row>
    <row r="103" spans="1:18" x14ac:dyDescent="0.3">
      <c r="A103" t="s">
        <v>275</v>
      </c>
      <c r="B103" t="s">
        <v>30</v>
      </c>
      <c r="C103" t="s">
        <v>30</v>
      </c>
      <c r="D103" t="s">
        <v>30</v>
      </c>
      <c r="E103" t="s">
        <v>30</v>
      </c>
      <c r="F103" t="s">
        <v>30</v>
      </c>
      <c r="G103" t="s">
        <v>30</v>
      </c>
      <c r="H103" t="s">
        <v>30</v>
      </c>
      <c r="I103" t="s">
        <v>30</v>
      </c>
      <c r="J103" t="s">
        <v>30</v>
      </c>
      <c r="K103" s="2">
        <f t="shared" si="3"/>
        <v>1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30</v>
      </c>
      <c r="R103" t="s">
        <v>30</v>
      </c>
    </row>
    <row r="104" spans="1:18" x14ac:dyDescent="0.3">
      <c r="A104" t="s">
        <v>274</v>
      </c>
      <c r="B104" t="s">
        <v>44</v>
      </c>
      <c r="C104" t="s">
        <v>44</v>
      </c>
      <c r="D104" t="s">
        <v>44</v>
      </c>
      <c r="E104" t="s">
        <v>44</v>
      </c>
      <c r="F104" t="s">
        <v>44</v>
      </c>
      <c r="G104" t="s">
        <v>44</v>
      </c>
      <c r="H104" t="s">
        <v>44</v>
      </c>
      <c r="I104" t="s">
        <v>44</v>
      </c>
      <c r="J104" t="s">
        <v>44</v>
      </c>
      <c r="K104" s="2">
        <f t="shared" si="3"/>
        <v>1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</row>
    <row r="105" spans="1:18" x14ac:dyDescent="0.3">
      <c r="A105" t="s">
        <v>273</v>
      </c>
      <c r="B105" t="s">
        <v>44</v>
      </c>
      <c r="C105" t="s">
        <v>44</v>
      </c>
      <c r="D105" t="s">
        <v>44</v>
      </c>
      <c r="E105" t="s">
        <v>44</v>
      </c>
      <c r="F105" t="s">
        <v>44</v>
      </c>
      <c r="G105" t="s">
        <v>44</v>
      </c>
      <c r="H105" t="s">
        <v>44</v>
      </c>
      <c r="I105" t="s">
        <v>44</v>
      </c>
      <c r="J105" t="s">
        <v>44</v>
      </c>
      <c r="K105" s="2">
        <f t="shared" si="3"/>
        <v>1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</row>
    <row r="106" spans="1:18" x14ac:dyDescent="0.3">
      <c r="A106" t="s">
        <v>272</v>
      </c>
      <c r="B106" t="s">
        <v>30</v>
      </c>
      <c r="C106" t="s">
        <v>30</v>
      </c>
      <c r="D106" t="s">
        <v>30</v>
      </c>
      <c r="E106" t="s">
        <v>30</v>
      </c>
      <c r="F106" t="s">
        <v>30</v>
      </c>
      <c r="G106" t="s">
        <v>30</v>
      </c>
      <c r="H106" t="s">
        <v>30</v>
      </c>
      <c r="I106" t="s">
        <v>30</v>
      </c>
      <c r="J106" t="s">
        <v>30</v>
      </c>
      <c r="K106" s="2">
        <f t="shared" si="3"/>
        <v>1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30</v>
      </c>
      <c r="R106" t="s">
        <v>30</v>
      </c>
    </row>
    <row r="107" spans="1:18" x14ac:dyDescent="0.3">
      <c r="A107" t="s">
        <v>271</v>
      </c>
      <c r="B107" t="s">
        <v>16</v>
      </c>
      <c r="C107" t="s">
        <v>16</v>
      </c>
      <c r="D107" t="s">
        <v>16</v>
      </c>
      <c r="E107" t="s">
        <v>16</v>
      </c>
      <c r="F107" t="s">
        <v>16</v>
      </c>
      <c r="G107" t="s">
        <v>16</v>
      </c>
      <c r="H107" t="s">
        <v>16</v>
      </c>
      <c r="I107" t="s">
        <v>16</v>
      </c>
      <c r="J107" t="s">
        <v>16</v>
      </c>
      <c r="K107" s="2">
        <f t="shared" si="3"/>
        <v>1</v>
      </c>
      <c r="L107" t="s">
        <v>16</v>
      </c>
      <c r="M107" t="s">
        <v>16</v>
      </c>
      <c r="N107" t="s">
        <v>16</v>
      </c>
      <c r="O107" t="s">
        <v>16</v>
      </c>
      <c r="P107" t="s">
        <v>16</v>
      </c>
      <c r="Q107" t="s">
        <v>16</v>
      </c>
      <c r="R107" t="s">
        <v>16</v>
      </c>
    </row>
    <row r="108" spans="1:18" x14ac:dyDescent="0.3">
      <c r="A108" t="s">
        <v>270</v>
      </c>
      <c r="B108" t="s">
        <v>37</v>
      </c>
      <c r="C108" t="s">
        <v>37</v>
      </c>
      <c r="D108" t="s">
        <v>37</v>
      </c>
      <c r="E108" t="s">
        <v>37</v>
      </c>
      <c r="F108" t="s">
        <v>37</v>
      </c>
      <c r="G108" t="s">
        <v>37</v>
      </c>
      <c r="H108" t="s">
        <v>37</v>
      </c>
      <c r="I108" t="s">
        <v>37</v>
      </c>
      <c r="J108" t="s">
        <v>37</v>
      </c>
      <c r="K108" s="2">
        <f t="shared" si="3"/>
        <v>1</v>
      </c>
      <c r="L108" t="s">
        <v>37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</row>
    <row r="109" spans="1:18" x14ac:dyDescent="0.3">
      <c r="A109" t="s">
        <v>269</v>
      </c>
      <c r="B109" t="s">
        <v>37</v>
      </c>
      <c r="C109" t="s">
        <v>37</v>
      </c>
      <c r="D109" t="s">
        <v>37</v>
      </c>
      <c r="E109" t="s">
        <v>37</v>
      </c>
      <c r="F109" t="s">
        <v>37</v>
      </c>
      <c r="G109" t="s">
        <v>37</v>
      </c>
      <c r="H109" t="s">
        <v>37</v>
      </c>
      <c r="I109" t="s">
        <v>37</v>
      </c>
      <c r="J109" t="s">
        <v>37</v>
      </c>
      <c r="K109" s="2">
        <f t="shared" si="3"/>
        <v>1</v>
      </c>
      <c r="L109" t="s">
        <v>37</v>
      </c>
      <c r="M109" t="s">
        <v>37</v>
      </c>
      <c r="N109" t="s">
        <v>37</v>
      </c>
      <c r="O109" t="s">
        <v>37</v>
      </c>
      <c r="P109" t="s">
        <v>37</v>
      </c>
      <c r="Q109" t="s">
        <v>37</v>
      </c>
      <c r="R109" t="s">
        <v>37</v>
      </c>
    </row>
    <row r="110" spans="1:18" x14ac:dyDescent="0.3">
      <c r="A110" t="s">
        <v>268</v>
      </c>
      <c r="B110" t="s">
        <v>30</v>
      </c>
      <c r="C110" t="s">
        <v>30</v>
      </c>
      <c r="D110" t="s">
        <v>30</v>
      </c>
      <c r="E110" t="s">
        <v>30</v>
      </c>
      <c r="F110" t="s">
        <v>30</v>
      </c>
      <c r="G110" t="s">
        <v>30</v>
      </c>
      <c r="H110" t="s">
        <v>30</v>
      </c>
      <c r="I110" t="s">
        <v>30</v>
      </c>
      <c r="J110" t="s">
        <v>30</v>
      </c>
      <c r="K110" s="2">
        <f t="shared" si="3"/>
        <v>1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30</v>
      </c>
      <c r="R110" t="s">
        <v>30</v>
      </c>
    </row>
    <row r="111" spans="1:18" x14ac:dyDescent="0.3">
      <c r="A111" t="s">
        <v>267</v>
      </c>
      <c r="B111" t="s">
        <v>16</v>
      </c>
      <c r="C111" t="s">
        <v>16</v>
      </c>
      <c r="D111" t="s">
        <v>16</v>
      </c>
      <c r="E111" t="s">
        <v>16</v>
      </c>
      <c r="F111" t="s">
        <v>16</v>
      </c>
      <c r="G111" t="s">
        <v>16</v>
      </c>
      <c r="H111" t="s">
        <v>16</v>
      </c>
      <c r="I111" t="s">
        <v>16</v>
      </c>
      <c r="J111" t="s">
        <v>16</v>
      </c>
      <c r="K111" s="2">
        <f t="shared" si="3"/>
        <v>1</v>
      </c>
      <c r="L111" t="s">
        <v>16</v>
      </c>
      <c r="M111" t="s">
        <v>16</v>
      </c>
      <c r="N111" t="s">
        <v>16</v>
      </c>
      <c r="O111" t="s">
        <v>16</v>
      </c>
      <c r="P111" t="s">
        <v>16</v>
      </c>
      <c r="Q111" t="s">
        <v>16</v>
      </c>
      <c r="R111" t="s">
        <v>16</v>
      </c>
    </row>
    <row r="112" spans="1:18" x14ac:dyDescent="0.3">
      <c r="A112" t="s">
        <v>266</v>
      </c>
      <c r="B112" t="s">
        <v>30</v>
      </c>
      <c r="C112" t="s">
        <v>30</v>
      </c>
      <c r="D112" t="s">
        <v>30</v>
      </c>
      <c r="E112" t="s">
        <v>30</v>
      </c>
      <c r="F112" t="s">
        <v>30</v>
      </c>
      <c r="G112" t="s">
        <v>30</v>
      </c>
      <c r="H112" t="s">
        <v>30</v>
      </c>
      <c r="I112" t="s">
        <v>30</v>
      </c>
      <c r="J112" t="s">
        <v>30</v>
      </c>
      <c r="K112" s="2">
        <f t="shared" si="3"/>
        <v>1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30</v>
      </c>
      <c r="R112" t="s">
        <v>30</v>
      </c>
    </row>
    <row r="113" spans="1:18" x14ac:dyDescent="0.3">
      <c r="A113" t="s">
        <v>265</v>
      </c>
      <c r="B113" t="s">
        <v>16</v>
      </c>
      <c r="C113" t="s">
        <v>16</v>
      </c>
      <c r="D113" t="s">
        <v>16</v>
      </c>
      <c r="E113" t="s">
        <v>16</v>
      </c>
      <c r="F113" t="s">
        <v>16</v>
      </c>
      <c r="G113" t="s">
        <v>16</v>
      </c>
      <c r="H113" t="s">
        <v>16</v>
      </c>
      <c r="I113" t="s">
        <v>16</v>
      </c>
      <c r="J113" t="s">
        <v>16</v>
      </c>
      <c r="K113" s="2">
        <f t="shared" si="3"/>
        <v>1</v>
      </c>
      <c r="L113" t="s">
        <v>16</v>
      </c>
      <c r="M113" t="s">
        <v>16</v>
      </c>
      <c r="N113" t="s">
        <v>16</v>
      </c>
      <c r="O113" t="s">
        <v>16</v>
      </c>
      <c r="P113" t="s">
        <v>16</v>
      </c>
      <c r="Q113" t="s">
        <v>16</v>
      </c>
      <c r="R113" t="s">
        <v>16</v>
      </c>
    </row>
    <row r="114" spans="1:18" x14ac:dyDescent="0.3">
      <c r="A114" t="s">
        <v>264</v>
      </c>
      <c r="B114" t="s">
        <v>30</v>
      </c>
      <c r="C114" t="s">
        <v>30</v>
      </c>
      <c r="D114" t="s">
        <v>30</v>
      </c>
      <c r="E114" t="s">
        <v>30</v>
      </c>
      <c r="F114" t="s">
        <v>30</v>
      </c>
      <c r="G114" t="s">
        <v>30</v>
      </c>
      <c r="H114" t="s">
        <v>30</v>
      </c>
      <c r="I114" t="s">
        <v>30</v>
      </c>
      <c r="J114" t="s">
        <v>30</v>
      </c>
      <c r="K114" s="2">
        <f t="shared" si="3"/>
        <v>1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30</v>
      </c>
      <c r="R114" t="s">
        <v>30</v>
      </c>
    </row>
    <row r="115" spans="1:18" x14ac:dyDescent="0.3">
      <c r="A115" t="s">
        <v>263</v>
      </c>
      <c r="B115" t="s">
        <v>30</v>
      </c>
      <c r="C115" t="s">
        <v>30</v>
      </c>
      <c r="D115" t="s">
        <v>30</v>
      </c>
      <c r="E115" t="s">
        <v>30</v>
      </c>
      <c r="F115" t="s">
        <v>30</v>
      </c>
      <c r="G115" t="s">
        <v>30</v>
      </c>
      <c r="H115" t="s">
        <v>30</v>
      </c>
      <c r="I115" t="s">
        <v>30</v>
      </c>
      <c r="J115" t="s">
        <v>30</v>
      </c>
      <c r="K115" s="2">
        <f t="shared" si="3"/>
        <v>1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30</v>
      </c>
      <c r="R115" t="s">
        <v>30</v>
      </c>
    </row>
    <row r="116" spans="1:18" x14ac:dyDescent="0.3">
      <c r="A116" t="s">
        <v>262</v>
      </c>
      <c r="B116" t="s">
        <v>30</v>
      </c>
      <c r="C116" t="s">
        <v>30</v>
      </c>
      <c r="D116" t="s">
        <v>30</v>
      </c>
      <c r="E116" t="s">
        <v>30</v>
      </c>
      <c r="F116" t="s">
        <v>30</v>
      </c>
      <c r="G116" t="s">
        <v>30</v>
      </c>
      <c r="H116" t="s">
        <v>30</v>
      </c>
      <c r="I116" t="s">
        <v>30</v>
      </c>
      <c r="J116" t="s">
        <v>30</v>
      </c>
      <c r="K116" s="2">
        <f t="shared" si="3"/>
        <v>1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30</v>
      </c>
      <c r="R116" t="s">
        <v>30</v>
      </c>
    </row>
    <row r="117" spans="1:18" x14ac:dyDescent="0.3">
      <c r="A117" t="s">
        <v>261</v>
      </c>
      <c r="B117" t="s">
        <v>30</v>
      </c>
      <c r="C117" t="s">
        <v>30</v>
      </c>
      <c r="D117" t="s">
        <v>30</v>
      </c>
      <c r="E117" t="s">
        <v>30</v>
      </c>
      <c r="F117" t="s">
        <v>30</v>
      </c>
      <c r="G117" t="s">
        <v>30</v>
      </c>
      <c r="H117" t="s">
        <v>30</v>
      </c>
      <c r="I117" t="s">
        <v>30</v>
      </c>
      <c r="J117" t="s">
        <v>30</v>
      </c>
      <c r="K117" s="2">
        <f t="shared" si="3"/>
        <v>1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30</v>
      </c>
      <c r="R117" t="s">
        <v>30</v>
      </c>
    </row>
    <row r="118" spans="1:18" x14ac:dyDescent="0.3">
      <c r="A118" t="s">
        <v>260</v>
      </c>
      <c r="B118" t="s">
        <v>30</v>
      </c>
      <c r="C118" t="s">
        <v>30</v>
      </c>
      <c r="D118" t="s">
        <v>30</v>
      </c>
      <c r="E118" t="s">
        <v>30</v>
      </c>
      <c r="F118" t="s">
        <v>30</v>
      </c>
      <c r="G118" t="s">
        <v>30</v>
      </c>
      <c r="H118" t="s">
        <v>30</v>
      </c>
      <c r="I118" t="s">
        <v>30</v>
      </c>
      <c r="J118" t="s">
        <v>30</v>
      </c>
      <c r="K118" s="2">
        <f t="shared" si="3"/>
        <v>1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30</v>
      </c>
      <c r="R118" t="s">
        <v>30</v>
      </c>
    </row>
    <row r="119" spans="1:18" x14ac:dyDescent="0.3">
      <c r="A119" t="s">
        <v>259</v>
      </c>
      <c r="B119" t="s">
        <v>44</v>
      </c>
      <c r="C119" t="s">
        <v>44</v>
      </c>
      <c r="D119" t="s">
        <v>44</v>
      </c>
      <c r="E119" t="s">
        <v>44</v>
      </c>
      <c r="F119" t="s">
        <v>44</v>
      </c>
      <c r="G119" t="s">
        <v>44</v>
      </c>
      <c r="H119" t="s">
        <v>44</v>
      </c>
      <c r="I119" t="s">
        <v>44</v>
      </c>
      <c r="J119" t="s">
        <v>44</v>
      </c>
      <c r="K119" s="2">
        <f t="shared" si="3"/>
        <v>1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</row>
    <row r="120" spans="1:18" x14ac:dyDescent="0.3">
      <c r="A120" t="s">
        <v>258</v>
      </c>
      <c r="B120" t="s">
        <v>30</v>
      </c>
      <c r="C120" t="s">
        <v>30</v>
      </c>
      <c r="D120" t="s">
        <v>30</v>
      </c>
      <c r="E120" t="s">
        <v>30</v>
      </c>
      <c r="F120" t="s">
        <v>30</v>
      </c>
      <c r="G120" t="s">
        <v>30</v>
      </c>
      <c r="H120" t="s">
        <v>30</v>
      </c>
      <c r="I120" t="s">
        <v>30</v>
      </c>
      <c r="J120" t="s">
        <v>30</v>
      </c>
      <c r="K120" s="2">
        <f t="shared" si="3"/>
        <v>1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30</v>
      </c>
      <c r="R120" t="s">
        <v>30</v>
      </c>
    </row>
    <row r="121" spans="1:18" x14ac:dyDescent="0.3">
      <c r="A121" t="s">
        <v>257</v>
      </c>
      <c r="B121" t="s">
        <v>44</v>
      </c>
      <c r="C121" t="s">
        <v>44</v>
      </c>
      <c r="D121" t="s">
        <v>44</v>
      </c>
      <c r="E121" t="s">
        <v>44</v>
      </c>
      <c r="F121" t="s">
        <v>44</v>
      </c>
      <c r="G121" t="s">
        <v>44</v>
      </c>
      <c r="H121" t="s">
        <v>44</v>
      </c>
      <c r="I121" t="s">
        <v>44</v>
      </c>
      <c r="J121" t="s">
        <v>44</v>
      </c>
      <c r="K121" s="2">
        <f t="shared" si="3"/>
        <v>1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</row>
    <row r="122" spans="1:18" x14ac:dyDescent="0.3">
      <c r="C122" cm="1">
        <f t="array" ref="C122">SUMPRODUCT(--($B2:$B121=C2:C121))</f>
        <v>120</v>
      </c>
      <c r="D122" cm="1">
        <f t="array" ref="D122">SUMPRODUCT(--($B2:$B121=D2:D121))</f>
        <v>59</v>
      </c>
      <c r="E122" cm="1">
        <f t="array" ref="E122">SUMPRODUCT(--($B2:$B121=E2:E121))</f>
        <v>99</v>
      </c>
      <c r="F122" cm="1">
        <f t="array" ref="F122">SUMPRODUCT(--($B2:$B121=F2:F121))</f>
        <v>93</v>
      </c>
      <c r="G122" cm="1">
        <f t="array" ref="G122">SUMPRODUCT(--($B2:$B121=G2:G121))</f>
        <v>84</v>
      </c>
      <c r="H122" cm="1">
        <f t="array" ref="H122">SUMPRODUCT(--($B2:$B121=H2:H121))</f>
        <v>68</v>
      </c>
      <c r="I122" cm="1">
        <f t="array" ref="I122">SUMPRODUCT(--($B2:$B121=I2:I121))</f>
        <v>68</v>
      </c>
      <c r="J122" cm="1">
        <f t="array" ref="J122">SUMPRODUCT(--($B2:$B121=J2:J121))</f>
        <v>78</v>
      </c>
    </row>
    <row r="123" spans="1:18" x14ac:dyDescent="0.3">
      <c r="C123" s="10">
        <f t="shared" ref="C123:J123" si="4">C122/$C$122</f>
        <v>1</v>
      </c>
      <c r="D123" s="10">
        <f t="shared" si="4"/>
        <v>0.49166666666666664</v>
      </c>
      <c r="E123" s="10">
        <f t="shared" si="4"/>
        <v>0.82499999999999996</v>
      </c>
      <c r="F123" s="10">
        <f t="shared" si="4"/>
        <v>0.77500000000000002</v>
      </c>
      <c r="G123" s="10">
        <f t="shared" si="4"/>
        <v>0.7</v>
      </c>
      <c r="H123" s="10">
        <f t="shared" si="4"/>
        <v>0.56666666666666665</v>
      </c>
      <c r="I123" s="10">
        <f t="shared" si="4"/>
        <v>0.56666666666666665</v>
      </c>
      <c r="J123" s="10">
        <f t="shared" si="4"/>
        <v>0.65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4013-1D5B-4AEA-8C7C-BFAFAA2226B6}">
  <dimension ref="A1"/>
  <sheetViews>
    <sheetView tabSelected="1" workbookViewId="0"/>
  </sheetViews>
  <sheetFormatPr defaultRowHeight="14.15" x14ac:dyDescent="0.3"/>
  <cols>
    <col min="1" max="1" width="228.15234375" customWidth="1"/>
  </cols>
  <sheetData>
    <row r="1" spans="1:1" ht="146.69999999999999" customHeight="1" x14ac:dyDescent="0.3">
      <c r="A1" s="4" t="s">
        <v>137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easy</vt:lpstr>
      <vt:lpstr>middle</vt:lpstr>
      <vt:lpstr>hard</vt:lpstr>
      <vt:lpstr>prompt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2025-12-19T06:27:39Z</dcterms:created>
  <dcterms:modified xsi:type="dcterms:W3CDTF">2026-02-02T07:33:56Z</dcterms:modified>
</cp:coreProperties>
</file>